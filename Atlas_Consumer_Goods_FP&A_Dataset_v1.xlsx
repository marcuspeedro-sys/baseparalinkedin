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a5c7f7f63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280755afdf347e4"/>
    <x:sheet xmlns:r="http://schemas.openxmlformats.org/officeDocument/2006/relationships" name="Products" sheetId="2" r:id="R54c6ea76c9c24c95"/>
    <x:sheet xmlns:r="http://schemas.openxmlformats.org/officeDocument/2006/relationships" name="Sales_Data" sheetId="3" r:id="Rdab2e779c24b4bc1"/>
    <x:sheet xmlns:r="http://schemas.openxmlformats.org/officeDocument/2006/relationships" name="OPEX_Data" sheetId="4" r:id="Racd2d0b85d5a42a9"/>
    <x:sheet xmlns:r="http://schemas.openxmlformats.org/officeDocument/2006/relationships" name="Monthly_PnL" sheetId="5" r:id="R2d454178f47c47b3"/>
    <x:sheet xmlns:r="http://schemas.openxmlformats.org/officeDocument/2006/relationships" name="Executive_Summary" sheetId="6" r:id="R1d3553bc445a4a6d"/>
    <x:sheet xmlns:r="http://schemas.openxmlformats.org/officeDocument/2006/relationships" name="Assumptions" sheetId="7" r:id="Rc967a5aefc3441d0"/>
    <x:sheet xmlns:r="http://schemas.openxmlformats.org/officeDocument/2006/relationships" name="Data_Dictionary" sheetId="8" r:id="Rd5259adbcab8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0.0%"/>
    <x:numFmt numFmtId="202" formatCode="#,##0;[Red](#,##0);-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243A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43A"/>
      </x:patternFill>
    </x:fill>
    <x:fill>
      <x:patternFill patternType="solid">
        <x:fgColor rgb="FFEAF3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0" fillId="3" borderId="1" xfId="0" applyNumberFormat="1" applyFont="1" applyFill="1" applyBorder="1"/>
    <x:xf numFmtId="202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2" fillId="3" borderId="1" xfId="0" applyNumberFormat="1" applyFont="1" applyFill="1" applyBorder="1"/>
    <x:xf numFmtId="201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97651d6f14f4b" /><Relationship Type="http://schemas.openxmlformats.org/officeDocument/2006/relationships/theme" Target="/xl/theme/theme1.xml" Id="R7751dc44fff64c95" /><Relationship Type="http://schemas.openxmlformats.org/officeDocument/2006/relationships/sharedStrings" Target="/xl/sharedStrings.xml" Id="R4993aa5895594474" /><Relationship Type="http://schemas.openxmlformats.org/officeDocument/2006/relationships/worksheet" Target="/xl/worksheets/sheet1.xml" Id="Re280755afdf347e4" /><Relationship Type="http://schemas.openxmlformats.org/officeDocument/2006/relationships/worksheet" Target="/xl/worksheets/sheet2.xml" Id="R54c6ea76c9c24c95" /><Relationship Type="http://schemas.openxmlformats.org/officeDocument/2006/relationships/worksheet" Target="/xl/worksheets/sheet3.xml" Id="Rdab2e779c24b4bc1" /><Relationship Type="http://schemas.openxmlformats.org/officeDocument/2006/relationships/worksheet" Target="/xl/worksheets/sheet4.xml" Id="Racd2d0b85d5a42a9" /><Relationship Type="http://schemas.openxmlformats.org/officeDocument/2006/relationships/worksheet" Target="/xl/worksheets/sheet5.xml" Id="R2d454178f47c47b3" /><Relationship Type="http://schemas.openxmlformats.org/officeDocument/2006/relationships/worksheet" Target="/xl/worksheets/sheet6.xml" Id="R1d3553bc445a4a6d" /><Relationship Type="http://schemas.openxmlformats.org/officeDocument/2006/relationships/worksheet" Target="/xl/worksheets/sheet7.xml" Id="Rc967a5aefc3441d0" /><Relationship Type="http://schemas.openxmlformats.org/officeDocument/2006/relationships/worksheet" Target="/xl/worksheets/sheet8.xml" Id="Rd5259adbcab84e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442b3e803648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Budget vs Actual Revenue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Budget Revenue</c:v>
          </c:tx>
          <c:marker>
            <c:symbol val="none"/>
          </c:marker>
          <c:cat>
            <c:strRef>
              <c:f>'Monthly_PnL'!$A$2:$A$13</c:f>
              <c:strCache>
                <c:ptCount val="0"/>
              </c:strCache>
            </c:strRef>
          </c:cat>
          <c:val>
            <c:numRef>
              <c:f>'Monthly_PnL'!$B$2:$B$13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Revenue</c:v>
          </c:tx>
          <c:marker>
            <c:symbol val="none"/>
          </c:marker>
          <c:cat>
            <c:strRef>
              <c:f>'Monthly_PnL'!$A$2:$A$13</c:f>
              <c:strCache>
                <c:ptCount val="0"/>
              </c:strCache>
            </c:strRef>
          </c:cat>
          <c:val>
            <c:numRef>
              <c:f>'Monthly_PnL'!$C$2:$C$13</c:f>
              <c:numCache>
                <c:formatCode>#,##0;[Red](#,##0);-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442b3e803648e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e9474568aeb4bd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12" hidden="0" customWidth="1"/>
  </x:cols>
  <x:sheetData>
    <x:row r="1" ht="31" customHeight="1">
      <x:c r="A1" s="4" t="str">
        <x:v>Field</x:v>
      </x:c>
      <x:c r="B1" s="4" t="str">
        <x:v>Description</x:v>
      </x:c>
    </x:row>
    <x:row r="2">
      <x:c r="A2" t="str">
        <x:v>ATLAS CONSUMER GOODS | Synthetic FP&amp;A Data Pack</x:v>
      </x:c>
      <x:c r="B2" s="8" t="str"/>
    </x:row>
    <x:row r="3">
      <x:c r="A3" t="str">
        <x:v>Dataset Version</x:v>
      </x:c>
      <x:c r="B3" s="8" t="str">
        <x:v>1.0 | 2026-10-29</x:v>
      </x:c>
    </x:row>
    <x:row r="4">
      <x:c r="A4" t="str">
        <x:v>Company</x:v>
      </x:c>
      <x:c r="B4" s="8" t="str">
        <x:v>Atlas Consumer Goods (fictional)</x:v>
      </x:c>
    </x:row>
    <x:row r="5">
      <x:c r="A5" t="str">
        <x:v>Industry</x:v>
      </x:c>
      <x:c r="B5" s="8" t="str">
        <x:v>Consumer goods distribution (fictional)</x:v>
      </x:c>
    </x:row>
    <x:row r="6">
      <x:c r="A6" t="str">
        <x:v>Currency</x:v>
      </x:c>
      <x:c r="B6" s="8" t="str">
        <x:v>USD | all numbers nominal</x:v>
      </x:c>
    </x:row>
    <x:row r="7">
      <x:c r="A7" t="str">
        <x:v>Period</x:v>
      </x:c>
      <x:c r="B7" s="8" t="str">
        <x:v>2025 monthly | 12 months</x:v>
      </x:c>
    </x:row>
    <x:row r="8">
      <x:c r="A8" t="str">
        <x:v>Granularity</x:v>
      </x:c>
      <x:c r="B8" s="8" t="str">
        <x:v>Month x SKU for sales; Month x expense category for OPEX</x:v>
      </x:c>
    </x:row>
    <x:row r="9">
      <x:c r="A9" t="str">
        <x:v>Origin</x:v>
      </x:c>
      <x:c r="B9" s="8" t="str">
        <x:v>100% generated data. NO company records; NO UCI transaction rows copied.</x:v>
      </x:c>
    </x:row>
    <x:row r="10">
      <x:c r="A10" t="str">
        <x:v>Public inspiration</x:v>
      </x:c>
      <x:c r="B10" s="8" t="str">
        <x:v>Online Retail II (UCI): general transactional structure and seasonal variation only</x:v>
      </x:c>
    </x:row>
    <x:row r="11">
      <x:c r="A11" t="str">
        <x:v>Source URL</x:v>
      </x:c>
      <x:c r="B11" s="8" t="str">
        <x:v>https://archive.ics.uci.edu/dataset/502/online+retail+ii</x:v>
      </x:c>
    </x:row>
    <x:row r="12">
      <x:c r="A12" t="str">
        <x:v>Source attribution</x:v>
      </x:c>
      <x:c r="B12" s="8" t="str">
        <x:v>Chen, D. (2012). Online Retail II, UCI. DOI: 10.24432/C5CG6D</x:v>
      </x:c>
    </x:row>
    <x:row r="13">
      <x:c r="A13" t="str">
        <x:v>Source license</x:v>
      </x:c>
      <x:c r="B13" s="8" t="str">
        <x:v>CC BY 4.0 applies to original UCI dataset; this workbook uses no reproduced records</x:v>
      </x:c>
    </x:row>
    <x:row r="14">
      <x:c r="A14" t="str">
        <x:v>Model definition</x:v>
      </x:c>
      <x:c r="B14" s="8" t="str">
        <x:v>Revenue = units x unit price; COGS = units x unit cost</x:v>
      </x:c>
    </x:row>
    <x:row r="15">
      <x:c r="A15" t="str">
        <x:v>Gross profit</x:v>
      </x:c>
      <x:c r="B15" s="8" t="str">
        <x:v>Revenue - COGS</x:v>
      </x:c>
    </x:row>
    <x:row r="16">
      <x:c r="A16" t="str">
        <x:v>EBITDA proxy</x:v>
      </x:c>
      <x:c r="B16" s="8" t="str">
        <x:v>Gross profit - operating expenses (excludes D&amp;A, taxes, interest)</x:v>
      </x:c>
    </x:row>
    <x:row r="17">
      <x:c r="A17" t="str">
        <x:v>Sign convention</x:v>
      </x:c>
      <x:c r="B17" s="8" t="str">
        <x:v>Revenue and costs positive in source; costs subtracted in P&amp;L</x:v>
      </x:c>
    </x:row>
    <x:row r="18">
      <x:c r="A18" t="str">
        <x:v>Variance sign</x:v>
      </x:c>
      <x:c r="B18" s="8" t="str">
        <x:v>Actual minus Budget; positive expense variance = unfavorable</x:v>
      </x:c>
    </x:row>
    <x:row r="19">
      <x:c r="A19" t="str">
        <x:v>Scenario rule</x:v>
      </x:c>
      <x:c r="B19" s="8" t="str">
        <x:v>Budget is an independent synthetic baseline, not derived from Actual</x:v>
      </x:c>
    </x:row>
    <x:row r="20">
      <x:c r="A20" t="str">
        <x:v>Random seed</x:v>
      </x:c>
      <x:c r="B20" s="8" t="str">
        <x:v>20261029 | deterministic generator</x:v>
      </x:c>
    </x:row>
    <x:row r="21">
      <x:c r="A21" t="str">
        <x:v>Caution</x:v>
      </x:c>
      <x:c r="B21" s="8" t="str">
        <x:v>Illustrative education/portfolio project, not investment or commercial analysis</x:v>
      </x:c>
    </x:row>
    <x:row r="22">
      <x:c r="A22" t="str">
        <x:v>Future work</x:v>
      </x:c>
      <x:c r="B22" s="8" t="str">
        <x:v>Forecast, price/volume/mix bridge, SKU profitability, scenario simulations</x:v>
      </x:c>
    </x:row>
    <x:row r="23">
      <x:c r="A23" t="str">
        <x:v>Model data URLs</x:v>
      </x:c>
      <x:c r="B23" s="8" t="str">
        <x:v>Source URL is reference for methodology, not source of simulated numerical parameters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37" hidden="0" customWidth="1"/>
    <x:col min="4" max="4" width="19" hidden="0" customWidth="1"/>
    <x:col min="5" max="5" width="20" hidden="0" customWidth="1"/>
    <x:col min="6" max="6" width="23" hidden="0" customWidth="1"/>
  </x:cols>
  <x:sheetData>
    <x:row r="1" ht="31" customHeight="1">
      <x:c r="A1" s="4" t="str">
        <x:v>SKU</x:v>
      </x:c>
      <x:c r="B1" s="4" t="str">
        <x:v>Category</x:v>
      </x:c>
      <x:c r="C1" s="4" t="str">
        <x:v>Product</x:v>
      </x:c>
      <x:c r="D1" s="4" t="str">
        <x:v>Base Price USD</x:v>
      </x:c>
      <x:c r="E1" s="4" t="str">
        <x:v>Base Cost Ratio</x:v>
      </x:c>
      <x:c r="F1" s="4" t="str">
        <x:v>Base Monthly Units</x:v>
      </x:c>
    </x:row>
    <x:row r="2">
      <x:c r="A2" t="str">
        <x:v>AT-001</x:v>
      </x:c>
      <x:c r="B2" t="str">
        <x:v>Home Essentials</x:v>
      </x:c>
      <x:c r="C2" t="str">
        <x:v>Home Essentials Product 1</x:v>
      </x:c>
      <x:c r="D2" s="10" t="n">
        <x:v>12</x:v>
      </x:c>
      <x:c r="E2" s="12" t="n">
        <x:v>0.49</x:v>
      </x:c>
      <x:c r="F2" t="n">
        <x:v>1350</x:v>
      </x:c>
    </x:row>
    <x:row r="3">
      <x:c r="A3" t="str">
        <x:v>AT-002</x:v>
      </x:c>
      <x:c r="B3" t="str">
        <x:v>Home Essentials</x:v>
      </x:c>
      <x:c r="C3" t="str">
        <x:v>Home Essentials Product 2</x:v>
      </x:c>
      <x:c r="D3" s="10" t="n">
        <x:v>15.5</x:v>
      </x:c>
      <x:c r="E3" s="12" t="n">
        <x:v>0.502</x:v>
      </x:c>
      <x:c r="F3" t="n">
        <x:v>1470</x:v>
      </x:c>
    </x:row>
    <x:row r="4">
      <x:c r="A4" t="str">
        <x:v>AT-003</x:v>
      </x:c>
      <x:c r="B4" t="str">
        <x:v>Home Essentials</x:v>
      </x:c>
      <x:c r="C4" t="str">
        <x:v>Home Essentials Product 3</x:v>
      </x:c>
      <x:c r="D4" s="10" t="n">
        <x:v>19</x:v>
      </x:c>
      <x:c r="E4" s="12" t="n">
        <x:v>0.514</x:v>
      </x:c>
      <x:c r="F4" t="n">
        <x:v>1590</x:v>
      </x:c>
    </x:row>
    <x:row r="5">
      <x:c r="A5" t="str">
        <x:v>AT-004</x:v>
      </x:c>
      <x:c r="B5" t="str">
        <x:v>Home Essentials</x:v>
      </x:c>
      <x:c r="C5" t="str">
        <x:v>Home Essentials Product 4</x:v>
      </x:c>
      <x:c r="D5" s="10" t="n">
        <x:v>22.5</x:v>
      </x:c>
      <x:c r="E5" s="12" t="n">
        <x:v>0.526</x:v>
      </x:c>
      <x:c r="F5" t="n">
        <x:v>1710</x:v>
      </x:c>
    </x:row>
    <x:row r="6">
      <x:c r="A6" t="str">
        <x:v>AT-005</x:v>
      </x:c>
      <x:c r="B6" t="str">
        <x:v>Home Essentials</x:v>
      </x:c>
      <x:c r="C6" t="str">
        <x:v>Home Essentials Product 5</x:v>
      </x:c>
      <x:c r="D6" s="10" t="n">
        <x:v>26</x:v>
      </x:c>
      <x:c r="E6" s="12" t="n">
        <x:v>0.538</x:v>
      </x:c>
      <x:c r="F6" t="n">
        <x:v>1830</x:v>
      </x:c>
    </x:row>
    <x:row r="7">
      <x:c r="A7" t="str">
        <x:v>AT-006</x:v>
      </x:c>
      <x:c r="B7" t="str">
        <x:v>Personal Care</x:v>
      </x:c>
      <x:c r="C7" t="str">
        <x:v>Personal Care Product 1</x:v>
      </x:c>
      <x:c r="D7" s="10" t="n">
        <x:v>20</x:v>
      </x:c>
      <x:c r="E7" s="12" t="n">
        <x:v>0.525</x:v>
      </x:c>
      <x:c r="F7" t="n">
        <x:v>1260</x:v>
      </x:c>
    </x:row>
    <x:row r="8">
      <x:c r="A8" t="str">
        <x:v>AT-007</x:v>
      </x:c>
      <x:c r="B8" t="str">
        <x:v>Personal Care</x:v>
      </x:c>
      <x:c r="C8" t="str">
        <x:v>Personal Care Product 2</x:v>
      </x:c>
      <x:c r="D8" s="10" t="n">
        <x:v>23.5</x:v>
      </x:c>
      <x:c r="E8" s="12" t="n">
        <x:v>0.537</x:v>
      </x:c>
      <x:c r="F8" t="n">
        <x:v>1380</x:v>
      </x:c>
    </x:row>
    <x:row r="9">
      <x:c r="A9" t="str">
        <x:v>AT-008</x:v>
      </x:c>
      <x:c r="B9" t="str">
        <x:v>Personal Care</x:v>
      </x:c>
      <x:c r="C9" t="str">
        <x:v>Personal Care Product 3</x:v>
      </x:c>
      <x:c r="D9" s="10" t="n">
        <x:v>27</x:v>
      </x:c>
      <x:c r="E9" s="12" t="n">
        <x:v>0.549</x:v>
      </x:c>
      <x:c r="F9" t="n">
        <x:v>1500</x:v>
      </x:c>
    </x:row>
    <x:row r="10">
      <x:c r="A10" t="str">
        <x:v>AT-009</x:v>
      </x:c>
      <x:c r="B10" t="str">
        <x:v>Personal Care</x:v>
      </x:c>
      <x:c r="C10" t="str">
        <x:v>Personal Care Product 4</x:v>
      </x:c>
      <x:c r="D10" s="10" t="n">
        <x:v>30.5</x:v>
      </x:c>
      <x:c r="E10" s="12" t="n">
        <x:v>0.561</x:v>
      </x:c>
      <x:c r="F10" t="n">
        <x:v>1620</x:v>
      </x:c>
    </x:row>
    <x:row r="11">
      <x:c r="A11" t="str">
        <x:v>AT-010</x:v>
      </x:c>
      <x:c r="B11" t="str">
        <x:v>Personal Care</x:v>
      </x:c>
      <x:c r="C11" t="str">
        <x:v>Personal Care Product 5</x:v>
      </x:c>
      <x:c r="D11" s="10" t="n">
        <x:v>34</x:v>
      </x:c>
      <x:c r="E11" s="12" t="n">
        <x:v>0.573</x:v>
      </x:c>
      <x:c r="F11" t="n">
        <x:v>1740</x:v>
      </x:c>
    </x:row>
    <x:row r="12">
      <x:c r="A12" t="str">
        <x:v>AT-011</x:v>
      </x:c>
      <x:c r="B12" t="str">
        <x:v>Office Supplies</x:v>
      </x:c>
      <x:c r="C12" t="str">
        <x:v>Office Supplies Product 1</x:v>
      </x:c>
      <x:c r="D12" s="10" t="n">
        <x:v>28</x:v>
      </x:c>
      <x:c r="E12" s="12" t="n">
        <x:v>0.56</x:v>
      </x:c>
      <x:c r="F12" t="n">
        <x:v>1170</x:v>
      </x:c>
    </x:row>
    <x:row r="13">
      <x:c r="A13" t="str">
        <x:v>AT-012</x:v>
      </x:c>
      <x:c r="B13" t="str">
        <x:v>Office Supplies</x:v>
      </x:c>
      <x:c r="C13" t="str">
        <x:v>Office Supplies Product 2</x:v>
      </x:c>
      <x:c r="D13" s="10" t="n">
        <x:v>31.5</x:v>
      </x:c>
      <x:c r="E13" s="12" t="n">
        <x:v>0.572</x:v>
      </x:c>
      <x:c r="F13" t="n">
        <x:v>1290</x:v>
      </x:c>
    </x:row>
    <x:row r="14">
      <x:c r="A14" t="str">
        <x:v>AT-013</x:v>
      </x:c>
      <x:c r="B14" t="str">
        <x:v>Office Supplies</x:v>
      </x:c>
      <x:c r="C14" t="str">
        <x:v>Office Supplies Product 3</x:v>
      </x:c>
      <x:c r="D14" s="10" t="n">
        <x:v>35</x:v>
      </x:c>
      <x:c r="E14" s="12" t="n">
        <x:v>0.584</x:v>
      </x:c>
      <x:c r="F14" t="n">
        <x:v>1410</x:v>
      </x:c>
    </x:row>
    <x:row r="15">
      <x:c r="A15" t="str">
        <x:v>AT-014</x:v>
      </x:c>
      <x:c r="B15" t="str">
        <x:v>Office Supplies</x:v>
      </x:c>
      <x:c r="C15" t="str">
        <x:v>Office Supplies Product 4</x:v>
      </x:c>
      <x:c r="D15" s="10" t="n">
        <x:v>38.5</x:v>
      </x:c>
      <x:c r="E15" s="12" t="n">
        <x:v>0.596</x:v>
      </x:c>
      <x:c r="F15" t="n">
        <x:v>1530</x:v>
      </x:c>
    </x:row>
    <x:row r="16">
      <x:c r="A16" t="str">
        <x:v>AT-015</x:v>
      </x:c>
      <x:c r="B16" t="str">
        <x:v>Office Supplies</x:v>
      </x:c>
      <x:c r="C16" t="str">
        <x:v>Office Supplies Product 5</x:v>
      </x:c>
      <x:c r="D16" s="10" t="n">
        <x:v>42</x:v>
      </x:c>
      <x:c r="E16" s="12" t="n">
        <x:v>0.608</x:v>
      </x:c>
      <x:c r="F16" t="n">
        <x:v>1650</x:v>
      </x:c>
    </x:row>
    <x:row r="17">
      <x:c r="A17" t="str">
        <x:v>AT-016</x:v>
      </x:c>
      <x:c r="B17" t="str">
        <x:v>Lifestyle Accessories</x:v>
      </x:c>
      <x:c r="C17" t="str">
        <x:v>Lifestyle Accessories Product 1</x:v>
      </x:c>
      <x:c r="D17" s="10" t="n">
        <x:v>36</x:v>
      </x:c>
      <x:c r="E17" s="12" t="n">
        <x:v>0.595</x:v>
      </x:c>
      <x:c r="F17" t="n">
        <x:v>1080</x:v>
      </x:c>
    </x:row>
    <x:row r="18">
      <x:c r="A18" t="str">
        <x:v>AT-017</x:v>
      </x:c>
      <x:c r="B18" t="str">
        <x:v>Lifestyle Accessories</x:v>
      </x:c>
      <x:c r="C18" t="str">
        <x:v>Lifestyle Accessories Product 2</x:v>
      </x:c>
      <x:c r="D18" s="10" t="n">
        <x:v>39.5</x:v>
      </x:c>
      <x:c r="E18" s="12" t="n">
        <x:v>0.607</x:v>
      </x:c>
      <x:c r="F18" t="n">
        <x:v>1200</x:v>
      </x:c>
    </x:row>
    <x:row r="19">
      <x:c r="A19" t="str">
        <x:v>AT-018</x:v>
      </x:c>
      <x:c r="B19" t="str">
        <x:v>Lifestyle Accessories</x:v>
      </x:c>
      <x:c r="C19" t="str">
        <x:v>Lifestyle Accessories Product 3</x:v>
      </x:c>
      <x:c r="D19" s="10" t="n">
        <x:v>43</x:v>
      </x:c>
      <x:c r="E19" s="12" t="n">
        <x:v>0.619</x:v>
      </x:c>
      <x:c r="F19" t="n">
        <x:v>1320</x:v>
      </x:c>
    </x:row>
    <x:row r="20">
      <x:c r="A20" t="str">
        <x:v>AT-019</x:v>
      </x:c>
      <x:c r="B20" t="str">
        <x:v>Lifestyle Accessories</x:v>
      </x:c>
      <x:c r="C20" t="str">
        <x:v>Lifestyle Accessories Product 4</x:v>
      </x:c>
      <x:c r="D20" s="10" t="n">
        <x:v>46.5</x:v>
      </x:c>
      <x:c r="E20" s="12" t="n">
        <x:v>0.631</x:v>
      </x:c>
      <x:c r="F20" t="n">
        <x:v>1440</x:v>
      </x:c>
    </x:row>
    <x:row r="21">
      <x:c r="A21" t="str">
        <x:v>AT-020</x:v>
      </x:c>
      <x:c r="B21" t="str">
        <x:v>Lifestyle Accessories</x:v>
      </x:c>
      <x:c r="C21" t="str">
        <x:v>Lifestyle Accessories Product 5</x:v>
      </x:c>
      <x:c r="D21" s="10" t="n">
        <x:v>50</x:v>
      </x:c>
      <x:c r="E21" s="12" t="n">
        <x:v>0.643</x:v>
      </x:c>
      <x:c r="F21" t="n">
        <x:v>1560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6" hidden="0" customWidth="1"/>
    <x:col min="4" max="4" width="36" hidden="0" customWidth="1"/>
    <x:col min="5" max="5" width="18" hidden="0" customWidth="1"/>
    <x:col min="6" max="6" width="19" hidden="0" customWidth="1"/>
    <x:col min="7" max="7" width="19" hidden="0" customWidth="1"/>
    <x:col min="8" max="8" width="18" hidden="0" customWidth="1"/>
    <x:col min="9" max="9" width="19" hidden="0" customWidth="1"/>
    <x:col min="10" max="10" width="19" hidden="0" customWidth="1"/>
    <x:col min="11" max="11" width="23" hidden="0" customWidth="1"/>
    <x:col min="12" max="12" width="23" hidden="0" customWidth="1"/>
    <x:col min="13" max="13" width="22" hidden="0" customWidth="1"/>
    <x:col min="14" max="14" width="22" hidden="0" customWidth="1"/>
  </x:cols>
  <x:sheetData>
    <x:row r="1" ht="31" customHeight="1">
      <x:c r="A1" s="4" t="str">
        <x:v>Month</x:v>
      </x:c>
      <x:c r="B1" s="4" t="str">
        <x:v>SKU</x:v>
      </x:c>
      <x:c r="C1" s="4" t="str">
        <x:v>Category</x:v>
      </x:c>
      <x:c r="D1" s="4" t="str">
        <x:v>Product</x:v>
      </x:c>
      <x:c r="E1" s="4" t="str">
        <x:v>Budget Units</x:v>
      </x:c>
      <x:c r="F1" s="4" t="str">
        <x:v>Budget Price USD</x:v>
      </x:c>
      <x:c r="G1" s="4" t="str">
        <x:v>Budget Cost USD</x:v>
      </x:c>
      <x:c r="H1" s="4" t="str">
        <x:v>Actual Units</x:v>
      </x:c>
      <x:c r="I1" s="4" t="str">
        <x:v>Actual Price USD</x:v>
      </x:c>
      <x:c r="J1" s="4" t="str">
        <x:v>Actual Cost USD</x:v>
      </x:c>
      <x:c r="K1" s="4" t="str">
        <x:v>Budget Revenue USD</x:v>
      </x:c>
      <x:c r="L1" s="4" t="str">
        <x:v>Actual Revenue USD</x:v>
      </x:c>
      <x:c r="M1" s="4" t="str">
        <x:v>Budget COGS USD</x:v>
      </x:c>
      <x:c r="N1" s="4" t="str">
        <x:v>Actual COGS USD</x:v>
      </x:c>
    </x:row>
    <x:row r="2">
      <x:c r="A2" t="str">
        <x:v>2025-01</x:v>
      </x:c>
      <x:c r="B2" t="str">
        <x:v>AT-001</x:v>
      </x:c>
      <x:c r="C2" t="str">
        <x:v>Home Essentials</x:v>
      </x:c>
      <x:c r="D2" t="str">
        <x:v>Home Essentials Product 1</x:v>
      </x:c>
      <x:c r="E2" s="10" t="n">
        <x:v>1095</x:v>
      </x:c>
      <x:c r="F2" s="10" t="n">
        <x:v>12</x:v>
      </x:c>
      <x:c r="G2" s="10" t="n">
        <x:v>5.88</x:v>
      </x:c>
      <x:c r="H2" s="10" t="n">
        <x:v>1250</x:v>
      </x:c>
      <x:c r="I2" s="10" t="n">
        <x:v>11.57</x:v>
      </x:c>
      <x:c r="J2" s="10" t="n">
        <x:v>6.19</x:v>
      </x:c>
      <x:c r="K2" s="10" t="n">
        <x:v>13140</x:v>
      </x:c>
      <x:c r="L2" s="10" t="n">
        <x:v>14462.5</x:v>
      </x:c>
      <x:c r="M2" s="10" t="n">
        <x:v>6438.6</x:v>
      </x:c>
      <x:c r="N2" s="10" t="n">
        <x:v>7737.5</x:v>
      </x:c>
    </x:row>
    <x:row r="3">
      <x:c r="A3" t="str">
        <x:v>2025-01</x:v>
      </x:c>
      <x:c r="B3" t="str">
        <x:v>AT-002</x:v>
      </x:c>
      <x:c r="C3" t="str">
        <x:v>Home Essentials</x:v>
      </x:c>
      <x:c r="D3" t="str">
        <x:v>Home Essentials Product 2</x:v>
      </x:c>
      <x:c r="E3" s="10" t="n">
        <x:v>1172</x:v>
      </x:c>
      <x:c r="F3" s="10" t="n">
        <x:v>15.5</x:v>
      </x:c>
      <x:c r="G3" s="10" t="n">
        <x:v>7.78</x:v>
      </x:c>
      <x:c r="H3" s="10" t="n">
        <x:v>1341</x:v>
      </x:c>
      <x:c r="I3" s="10" t="n">
        <x:v>15.55</x:v>
      </x:c>
      <x:c r="J3" s="10" t="n">
        <x:v>8.17</x:v>
      </x:c>
      <x:c r="K3" s="10" t="n">
        <x:v>18166</x:v>
      </x:c>
      <x:c r="L3" s="10" t="n">
        <x:v>20852.55</x:v>
      </x:c>
      <x:c r="M3" s="10" t="n">
        <x:v>9118.16</x:v>
      </x:c>
      <x:c r="N3" s="10" t="n">
        <x:v>10955.97</x:v>
      </x:c>
    </x:row>
    <x:row r="4">
      <x:c r="A4" t="str">
        <x:v>2025-01</x:v>
      </x:c>
      <x:c r="B4" t="str">
        <x:v>AT-003</x:v>
      </x:c>
      <x:c r="C4" t="str">
        <x:v>Home Essentials</x:v>
      </x:c>
      <x:c r="D4" t="str">
        <x:v>Home Essentials Product 3</x:v>
      </x:c>
      <x:c r="E4" s="10" t="n">
        <x:v>1261</x:v>
      </x:c>
      <x:c r="F4" s="10" t="n">
        <x:v>19</x:v>
      </x:c>
      <x:c r="G4" s="10" t="n">
        <x:v>9.77</x:v>
      </x:c>
      <x:c r="H4" s="10" t="n">
        <x:v>1180</x:v>
      </x:c>
      <x:c r="I4" s="10" t="n">
        <x:v>18.39</x:v>
      </x:c>
      <x:c r="J4" s="10" t="n">
        <x:v>10.26</x:v>
      </x:c>
      <x:c r="K4" s="10" t="n">
        <x:v>23959</x:v>
      </x:c>
      <x:c r="L4" s="10" t="n">
        <x:v>21700.2</x:v>
      </x:c>
      <x:c r="M4" s="10" t="n">
        <x:v>12319.97</x:v>
      </x:c>
      <x:c r="N4" s="10" t="n">
        <x:v>12106.8</x:v>
      </x:c>
    </x:row>
    <x:row r="5">
      <x:c r="A5" t="str">
        <x:v>2025-01</x:v>
      </x:c>
      <x:c r="B5" t="str">
        <x:v>AT-004</x:v>
      </x:c>
      <x:c r="C5" t="str">
        <x:v>Home Essentials</x:v>
      </x:c>
      <x:c r="D5" t="str">
        <x:v>Home Essentials Product 4</x:v>
      </x:c>
      <x:c r="E5" s="10" t="n">
        <x:v>1411</x:v>
      </x:c>
      <x:c r="F5" s="10" t="n">
        <x:v>22.5</x:v>
      </x:c>
      <x:c r="G5" s="10" t="n">
        <x:v>11.84</x:v>
      </x:c>
      <x:c r="H5" s="10" t="n">
        <x:v>1418</x:v>
      </x:c>
      <x:c r="I5" s="10" t="n">
        <x:v>21.7</x:v>
      </x:c>
      <x:c r="J5" s="10" t="n">
        <x:v>12.26</x:v>
      </x:c>
      <x:c r="K5" s="10" t="n">
        <x:v>31747.5</x:v>
      </x:c>
      <x:c r="L5" s="10" t="n">
        <x:v>30770.6</x:v>
      </x:c>
      <x:c r="M5" s="10" t="n">
        <x:v>16706.24</x:v>
      </x:c>
      <x:c r="N5" s="10" t="n">
        <x:v>17384.68</x:v>
      </x:c>
    </x:row>
    <x:row r="6">
      <x:c r="A6" t="str">
        <x:v>2025-01</x:v>
      </x:c>
      <x:c r="B6" t="str">
        <x:v>AT-005</x:v>
      </x:c>
      <x:c r="C6" t="str">
        <x:v>Home Essentials</x:v>
      </x:c>
      <x:c r="D6" t="str">
        <x:v>Home Essentials Product 5</x:v>
      </x:c>
      <x:c r="E6" s="10" t="n">
        <x:v>1513</x:v>
      </x:c>
      <x:c r="F6" s="10" t="n">
        <x:v>26</x:v>
      </x:c>
      <x:c r="G6" s="10" t="n">
        <x:v>13.99</x:v>
      </x:c>
      <x:c r="H6" s="10" t="n">
        <x:v>1696</x:v>
      </x:c>
      <x:c r="I6" s="10" t="n">
        <x:v>25.86</x:v>
      </x:c>
      <x:c r="J6" s="10" t="n">
        <x:v>14.3</x:v>
      </x:c>
      <x:c r="K6" s="10" t="n">
        <x:v>39338</x:v>
      </x:c>
      <x:c r="L6" s="10" t="n">
        <x:v>43858.56</x:v>
      </x:c>
      <x:c r="M6" s="10" t="n">
        <x:v>21166.87</x:v>
      </x:c>
      <x:c r="N6" s="10" t="n">
        <x:v>24252.8</x:v>
      </x:c>
    </x:row>
    <x:row r="7">
      <x:c r="A7" t="str">
        <x:v>2025-01</x:v>
      </x:c>
      <x:c r="B7" t="str">
        <x:v>AT-006</x:v>
      </x:c>
      <x:c r="C7" t="str">
        <x:v>Personal Care</x:v>
      </x:c>
      <x:c r="D7" t="str">
        <x:v>Personal Care Product 1</x:v>
      </x:c>
      <x:c r="E7" s="10" t="n">
        <x:v>1008</x:v>
      </x:c>
      <x:c r="F7" s="10" t="n">
        <x:v>20</x:v>
      </x:c>
      <x:c r="G7" s="10" t="n">
        <x:v>10.5</x:v>
      </x:c>
      <x:c r="H7" s="10" t="n">
        <x:v>949</x:v>
      </x:c>
      <x:c r="I7" s="10" t="n">
        <x:v>19.43</x:v>
      </x:c>
      <x:c r="J7" s="10" t="n">
        <x:v>11.04</x:v>
      </x:c>
      <x:c r="K7" s="10" t="n">
        <x:v>20160</x:v>
      </x:c>
      <x:c r="L7" s="10" t="n">
        <x:v>18439.07</x:v>
      </x:c>
      <x:c r="M7" s="10" t="n">
        <x:v>10584</x:v>
      </x:c>
      <x:c r="N7" s="10" t="n">
        <x:v>10476.96</x:v>
      </x:c>
    </x:row>
    <x:row r="8">
      <x:c r="A8" t="str">
        <x:v>2025-01</x:v>
      </x:c>
      <x:c r="B8" t="str">
        <x:v>AT-007</x:v>
      </x:c>
      <x:c r="C8" t="str">
        <x:v>Personal Care</x:v>
      </x:c>
      <x:c r="D8" t="str">
        <x:v>Personal Care Product 2</x:v>
      </x:c>
      <x:c r="E8" s="10" t="n">
        <x:v>1101</x:v>
      </x:c>
      <x:c r="F8" s="10" t="n">
        <x:v>23.5</x:v>
      </x:c>
      <x:c r="G8" s="10" t="n">
        <x:v>12.62</x:v>
      </x:c>
      <x:c r="H8" s="10" t="n">
        <x:v>986</x:v>
      </x:c>
      <x:c r="I8" s="10" t="n">
        <x:v>23.25</x:v>
      </x:c>
      <x:c r="J8" s="10" t="n">
        <x:v>12.89</x:v>
      </x:c>
      <x:c r="K8" s="10" t="n">
        <x:v>25873.5</x:v>
      </x:c>
      <x:c r="L8" s="10" t="n">
        <x:v>22924.5</x:v>
      </x:c>
      <x:c r="M8" s="10" t="n">
        <x:v>13894.62</x:v>
      </x:c>
      <x:c r="N8" s="10" t="n">
        <x:v>12709.54</x:v>
      </x:c>
    </x:row>
    <x:row r="9">
      <x:c r="A9" t="str">
        <x:v>2025-01</x:v>
      </x:c>
      <x:c r="B9" t="str">
        <x:v>AT-008</x:v>
      </x:c>
      <x:c r="C9" t="str">
        <x:v>Personal Care</x:v>
      </x:c>
      <x:c r="D9" t="str">
        <x:v>Personal Care Product 3</x:v>
      </x:c>
      <x:c r="E9" s="10" t="n">
        <x:v>1203</x:v>
      </x:c>
      <x:c r="F9" s="10" t="n">
        <x:v>27</x:v>
      </x:c>
      <x:c r="G9" s="10" t="n">
        <x:v>14.82</x:v>
      </x:c>
      <x:c r="H9" s="10" t="n">
        <x:v>1357</x:v>
      </x:c>
      <x:c r="I9" s="10" t="n">
        <x:v>26.01</x:v>
      </x:c>
      <x:c r="J9" s="10" t="n">
        <x:v>15.39</x:v>
      </x:c>
      <x:c r="K9" s="10" t="n">
        <x:v>32481</x:v>
      </x:c>
      <x:c r="L9" s="10" t="n">
        <x:v>35295.57</x:v>
      </x:c>
      <x:c r="M9" s="10" t="n">
        <x:v>17828.46</x:v>
      </x:c>
      <x:c r="N9" s="10" t="n">
        <x:v>20884.23</x:v>
      </x:c>
    </x:row>
    <x:row r="10">
      <x:c r="A10" t="str">
        <x:v>2025-01</x:v>
      </x:c>
      <x:c r="B10" t="str">
        <x:v>AT-009</x:v>
      </x:c>
      <x:c r="C10" t="str">
        <x:v>Personal Care</x:v>
      </x:c>
      <x:c r="D10" t="str">
        <x:v>Personal Care Product 4</x:v>
      </x:c>
      <x:c r="E10" s="10" t="n">
        <x:v>1342</x:v>
      </x:c>
      <x:c r="F10" s="10" t="n">
        <x:v>30.5</x:v>
      </x:c>
      <x:c r="G10" s="10" t="n">
        <x:v>17.11</x:v>
      </x:c>
      <x:c r="H10" s="10" t="n">
        <x:v>1494</x:v>
      </x:c>
      <x:c r="I10" s="10" t="n">
        <x:v>29.17</x:v>
      </x:c>
      <x:c r="J10" s="10" t="n">
        <x:v>18.61</x:v>
      </x:c>
      <x:c r="K10" s="10" t="n">
        <x:v>40931</x:v>
      </x:c>
      <x:c r="L10" s="10" t="n">
        <x:v>43579.98</x:v>
      </x:c>
      <x:c r="M10" s="10" t="n">
        <x:v>22961.62</x:v>
      </x:c>
      <x:c r="N10" s="10" t="n">
        <x:v>27803.34</x:v>
      </x:c>
    </x:row>
    <x:row r="11">
      <x:c r="A11" t="str">
        <x:v>2025-01</x:v>
      </x:c>
      <x:c r="B11" t="str">
        <x:v>AT-010</x:v>
      </x:c>
      <x:c r="C11" t="str">
        <x:v>Personal Care</x:v>
      </x:c>
      <x:c r="D11" t="str">
        <x:v>Personal Care Product 5</x:v>
      </x:c>
      <x:c r="E11" s="10" t="n">
        <x:v>1417</x:v>
      </x:c>
      <x:c r="F11" s="10" t="n">
        <x:v>34</x:v>
      </x:c>
      <x:c r="G11" s="10" t="n">
        <x:v>19.48</x:v>
      </x:c>
      <x:c r="H11" s="10" t="n">
        <x:v>1413</x:v>
      </x:c>
      <x:c r="I11" s="10" t="n">
        <x:v>34.68</x:v>
      </x:c>
      <x:c r="J11" s="10" t="n">
        <x:v>20.45</x:v>
      </x:c>
      <x:c r="K11" s="10" t="n">
        <x:v>48178</x:v>
      </x:c>
      <x:c r="L11" s="10" t="n">
        <x:v>49002.84</x:v>
      </x:c>
      <x:c r="M11" s="10" t="n">
        <x:v>27603.16</x:v>
      </x:c>
      <x:c r="N11" s="10" t="n">
        <x:v>28895.85</x:v>
      </x:c>
    </x:row>
    <x:row r="12">
      <x:c r="A12" t="str">
        <x:v>2025-01</x:v>
      </x:c>
      <x:c r="B12" t="str">
        <x:v>AT-011</x:v>
      </x:c>
      <x:c r="C12" t="str">
        <x:v>Office Supplies</x:v>
      </x:c>
      <x:c r="D12" t="str">
        <x:v>Office Supplies Product 1</x:v>
      </x:c>
      <x:c r="E12" s="10" t="n">
        <x:v>961</x:v>
      </x:c>
      <x:c r="F12" s="10" t="n">
        <x:v>28</x:v>
      </x:c>
      <x:c r="G12" s="10" t="n">
        <x:v>15.68</x:v>
      </x:c>
      <x:c r="H12" s="10" t="n">
        <x:v>1075</x:v>
      </x:c>
      <x:c r="I12" s="10" t="n">
        <x:v>27.62</x:v>
      </x:c>
      <x:c r="J12" s="10" t="n">
        <x:v>17.17</x:v>
      </x:c>
      <x:c r="K12" s="10" t="n">
        <x:v>26908</x:v>
      </x:c>
      <x:c r="L12" s="10" t="n">
        <x:v>29691.5</x:v>
      </x:c>
      <x:c r="M12" s="10" t="n">
        <x:v>15068.48</x:v>
      </x:c>
      <x:c r="N12" s="10" t="n">
        <x:v>18457.75</x:v>
      </x:c>
    </x:row>
    <x:row r="13">
      <x:c r="A13" t="str">
        <x:v>2025-01</x:v>
      </x:c>
      <x:c r="B13" t="str">
        <x:v>AT-012</x:v>
      </x:c>
      <x:c r="C13" t="str">
        <x:v>Office Supplies</x:v>
      </x:c>
      <x:c r="D13" t="str">
        <x:v>Office Supplies Product 2</x:v>
      </x:c>
      <x:c r="E13" s="10" t="n">
        <x:v>1021</x:v>
      </x:c>
      <x:c r="F13" s="10" t="n">
        <x:v>31.5</x:v>
      </x:c>
      <x:c r="G13" s="10" t="n">
        <x:v>18.02</x:v>
      </x:c>
      <x:c r="H13" s="10" t="n">
        <x:v>1066</x:v>
      </x:c>
      <x:c r="I13" s="10" t="n">
        <x:v>31.15</x:v>
      </x:c>
      <x:c r="J13" s="10" t="n">
        <x:v>19.24</x:v>
      </x:c>
      <x:c r="K13" s="10" t="n">
        <x:v>32161.5</x:v>
      </x:c>
      <x:c r="L13" s="10" t="n">
        <x:v>33205.9</x:v>
      </x:c>
      <x:c r="M13" s="10" t="n">
        <x:v>18398.42</x:v>
      </x:c>
      <x:c r="N13" s="10" t="n">
        <x:v>20509.84</x:v>
      </x:c>
    </x:row>
    <x:row r="14">
      <x:c r="A14" t="str">
        <x:v>2025-01</x:v>
      </x:c>
      <x:c r="B14" t="str">
        <x:v>AT-013</x:v>
      </x:c>
      <x:c r="C14" t="str">
        <x:v>Office Supplies</x:v>
      </x:c>
      <x:c r="D14" t="str">
        <x:v>Office Supplies Product 3</x:v>
      </x:c>
      <x:c r="E14" s="10" t="n">
        <x:v>1161</x:v>
      </x:c>
      <x:c r="F14" s="10" t="n">
        <x:v>35</x:v>
      </x:c>
      <x:c r="G14" s="10" t="n">
        <x:v>20.44</x:v>
      </x:c>
      <x:c r="H14" s="10" t="n">
        <x:v>1109</x:v>
      </x:c>
      <x:c r="I14" s="10" t="n">
        <x:v>34.33</x:v>
      </x:c>
      <x:c r="J14" s="10" t="n">
        <x:v>21.48</x:v>
      </x:c>
      <x:c r="K14" s="10" t="n">
        <x:v>40635</x:v>
      </x:c>
      <x:c r="L14" s="10" t="n">
        <x:v>38071.97</x:v>
      </x:c>
      <x:c r="M14" s="10" t="n">
        <x:v>23730.84</x:v>
      </x:c>
      <x:c r="N14" s="10" t="n">
        <x:v>23821.32</x:v>
      </x:c>
    </x:row>
    <x:row r="15">
      <x:c r="A15" t="str">
        <x:v>2025-01</x:v>
      </x:c>
      <x:c r="B15" t="str">
        <x:v>AT-014</x:v>
      </x:c>
      <x:c r="C15" t="str">
        <x:v>Office Supplies</x:v>
      </x:c>
      <x:c r="D15" t="str">
        <x:v>Office Supplies Product 4</x:v>
      </x:c>
      <x:c r="E15" s="10" t="n">
        <x:v>1248</x:v>
      </x:c>
      <x:c r="F15" s="10" t="n">
        <x:v>38.5</x:v>
      </x:c>
      <x:c r="G15" s="10" t="n">
        <x:v>22.95</x:v>
      </x:c>
      <x:c r="H15" s="10" t="n">
        <x:v>1134</x:v>
      </x:c>
      <x:c r="I15" s="10" t="n">
        <x:v>38.79</x:v>
      </x:c>
      <x:c r="J15" s="10" t="n">
        <x:v>24.52</x:v>
      </x:c>
      <x:c r="K15" s="10" t="n">
        <x:v>48048</x:v>
      </x:c>
      <x:c r="L15" s="10" t="n">
        <x:v>43987.86</x:v>
      </x:c>
      <x:c r="M15" s="10" t="n">
        <x:v>28641.6</x:v>
      </x:c>
      <x:c r="N15" s="10" t="n">
        <x:v>27805.68</x:v>
      </x:c>
    </x:row>
    <x:row r="16">
      <x:c r="A16" t="str">
        <x:v>2025-01</x:v>
      </x:c>
      <x:c r="B16" t="str">
        <x:v>AT-015</x:v>
      </x:c>
      <x:c r="C16" t="str">
        <x:v>Office Supplies</x:v>
      </x:c>
      <x:c r="D16" t="str">
        <x:v>Office Supplies Product 5</x:v>
      </x:c>
      <x:c r="E16" s="10" t="n">
        <x:v>1328</x:v>
      </x:c>
      <x:c r="F16" s="10" t="n">
        <x:v>42</x:v>
      </x:c>
      <x:c r="G16" s="10" t="n">
        <x:v>25.54</x:v>
      </x:c>
      <x:c r="H16" s="10" t="n">
        <x:v>1178</x:v>
      </x:c>
      <x:c r="I16" s="10" t="n">
        <x:v>41.61</x:v>
      </x:c>
      <x:c r="J16" s="10" t="n">
        <x:v>28.08</x:v>
      </x:c>
      <x:c r="K16" s="10" t="n">
        <x:v>55776</x:v>
      </x:c>
      <x:c r="L16" s="10" t="n">
        <x:v>49016.58</x:v>
      </x:c>
      <x:c r="M16" s="10" t="n">
        <x:v>33917.12</x:v>
      </x:c>
      <x:c r="N16" s="10" t="n">
        <x:v>33078.24</x:v>
      </x:c>
    </x:row>
    <x:row r="17">
      <x:c r="A17" t="str">
        <x:v>2025-01</x:v>
      </x:c>
      <x:c r="B17" t="str">
        <x:v>AT-016</x:v>
      </x:c>
      <x:c r="C17" t="str">
        <x:v>Lifestyle Accessories</x:v>
      </x:c>
      <x:c r="D17" t="str">
        <x:v>Lifestyle Accessories Product 1</x:v>
      </x:c>
      <x:c r="E17" s="10" t="n">
        <x:v>864</x:v>
      </x:c>
      <x:c r="F17" s="10" t="n">
        <x:v>36</x:v>
      </x:c>
      <x:c r="G17" s="10" t="n">
        <x:v>21.42</x:v>
      </x:c>
      <x:c r="H17" s="10" t="n">
        <x:v>938</x:v>
      </x:c>
      <x:c r="I17" s="10" t="n">
        <x:v>35.46</x:v>
      </x:c>
      <x:c r="J17" s="10" t="n">
        <x:v>22.51</x:v>
      </x:c>
      <x:c r="K17" s="10" t="n">
        <x:v>31104</x:v>
      </x:c>
      <x:c r="L17" s="10" t="n">
        <x:v>33261.48</x:v>
      </x:c>
      <x:c r="M17" s="10" t="n">
        <x:v>18506.88</x:v>
      </x:c>
      <x:c r="N17" s="10" t="n">
        <x:v>21114.38</x:v>
      </x:c>
    </x:row>
    <x:row r="18">
      <x:c r="A18" t="str">
        <x:v>2025-01</x:v>
      </x:c>
      <x:c r="B18" t="str">
        <x:v>AT-017</x:v>
      </x:c>
      <x:c r="C18" t="str">
        <x:v>Lifestyle Accessories</x:v>
      </x:c>
      <x:c r="D18" t="str">
        <x:v>Lifestyle Accessories Product 2</x:v>
      </x:c>
      <x:c r="E18" s="10" t="n">
        <x:v>979</x:v>
      </x:c>
      <x:c r="F18" s="10" t="n">
        <x:v>39.5</x:v>
      </x:c>
      <x:c r="G18" s="10" t="n">
        <x:v>23.98</x:v>
      </x:c>
      <x:c r="H18" s="10" t="n">
        <x:v>986</x:v>
      </x:c>
      <x:c r="I18" s="10" t="n">
        <x:v>40.54</x:v>
      </x:c>
      <x:c r="J18" s="10" t="n">
        <x:v>24.65</x:v>
      </x:c>
      <x:c r="K18" s="10" t="n">
        <x:v>38670.5</x:v>
      </x:c>
      <x:c r="L18" s="10" t="n">
        <x:v>39972.44</x:v>
      </x:c>
      <x:c r="M18" s="10" t="n">
        <x:v>23476.42</x:v>
      </x:c>
      <x:c r="N18" s="10" t="n">
        <x:v>24304.9</x:v>
      </x:c>
    </x:row>
    <x:row r="19">
      <x:c r="A19" t="str">
        <x:v>2025-01</x:v>
      </x:c>
      <x:c r="B19" t="str">
        <x:v>AT-018</x:v>
      </x:c>
      <x:c r="C19" t="str">
        <x:v>Lifestyle Accessories</x:v>
      </x:c>
      <x:c r="D19" t="str">
        <x:v>Lifestyle Accessories Product 3</x:v>
      </x:c>
      <x:c r="E19" s="10" t="n">
        <x:v>1079</x:v>
      </x:c>
      <x:c r="F19" s="10" t="n">
        <x:v>43</x:v>
      </x:c>
      <x:c r="G19" s="10" t="n">
        <x:v>26.62</x:v>
      </x:c>
      <x:c r="H19" s="10" t="n">
        <x:v>1194</x:v>
      </x:c>
      <x:c r="I19" s="10" t="n">
        <x:v>42.21</x:v>
      </x:c>
      <x:c r="J19" s="10" t="n">
        <x:v>28.09</x:v>
      </x:c>
      <x:c r="K19" s="10" t="n">
        <x:v>46397</x:v>
      </x:c>
      <x:c r="L19" s="10" t="n">
        <x:v>50398.74</x:v>
      </x:c>
      <x:c r="M19" s="10" t="n">
        <x:v>28722.98</x:v>
      </x:c>
      <x:c r="N19" s="10" t="n">
        <x:v>33539.46</x:v>
      </x:c>
    </x:row>
    <x:row r="20">
      <x:c r="A20" t="str">
        <x:v>2025-01</x:v>
      </x:c>
      <x:c r="B20" t="str">
        <x:v>AT-019</x:v>
      </x:c>
      <x:c r="C20" t="str">
        <x:v>Lifestyle Accessories</x:v>
      </x:c>
      <x:c r="D20" t="str">
        <x:v>Lifestyle Accessories Product 4</x:v>
      </x:c>
      <x:c r="E20" s="10" t="n">
        <x:v>1157</x:v>
      </x:c>
      <x:c r="F20" s="10" t="n">
        <x:v>46.5</x:v>
      </x:c>
      <x:c r="G20" s="10" t="n">
        <x:v>29.34</x:v>
      </x:c>
      <x:c r="H20" s="10" t="n">
        <x:v>1330</x:v>
      </x:c>
      <x:c r="I20" s="10" t="n">
        <x:v>44.54</x:v>
      </x:c>
      <x:c r="J20" s="10" t="n">
        <x:v>32.19</x:v>
      </x:c>
      <x:c r="K20" s="10" t="n">
        <x:v>53800.5</x:v>
      </x:c>
      <x:c r="L20" s="10" t="n">
        <x:v>59238.2</x:v>
      </x:c>
      <x:c r="M20" s="10" t="n">
        <x:v>33946.38</x:v>
      </x:c>
      <x:c r="N20" s="10" t="n">
        <x:v>42812.7</x:v>
      </x:c>
    </x:row>
    <x:row r="21">
      <x:c r="A21" t="str">
        <x:v>2025-01</x:v>
      </x:c>
      <x:c r="B21" t="str">
        <x:v>AT-020</x:v>
      </x:c>
      <x:c r="C21" t="str">
        <x:v>Lifestyle Accessories</x:v>
      </x:c>
      <x:c r="D21" t="str">
        <x:v>Lifestyle Accessories Product 5</x:v>
      </x:c>
      <x:c r="E21" s="10" t="n">
        <x:v>1247</x:v>
      </x:c>
      <x:c r="F21" s="10" t="n">
        <x:v>50</x:v>
      </x:c>
      <x:c r="G21" s="10" t="n">
        <x:v>32.15</x:v>
      </x:c>
      <x:c r="H21" s="10" t="n">
        <x:v>1343</x:v>
      </x:c>
      <x:c r="I21" s="10" t="n">
        <x:v>50.66</x:v>
      </x:c>
      <x:c r="J21" s="10" t="n">
        <x:v>34.14</x:v>
      </x:c>
      <x:c r="K21" s="10" t="n">
        <x:v>62350</x:v>
      </x:c>
      <x:c r="L21" s="10" t="n">
        <x:v>68036.38</x:v>
      </x:c>
      <x:c r="M21" s="10" t="n">
        <x:v>40091.05</x:v>
      </x:c>
      <x:c r="N21" s="10" t="n">
        <x:v>45850.02</x:v>
      </x:c>
    </x:row>
    <x:row r="22">
      <x:c r="A22" t="str">
        <x:v>2025-02</x:v>
      </x:c>
      <x:c r="B22" t="str">
        <x:v>AT-001</x:v>
      </x:c>
      <x:c r="C22" t="str">
        <x:v>Home Essentials</x:v>
      </x:c>
      <x:c r="D22" t="str">
        <x:v>Home Essentials Product 1</x:v>
      </x:c>
      <x:c r="E22" s="10" t="n">
        <x:v>1154</x:v>
      </x:c>
      <x:c r="F22" s="10" t="n">
        <x:v>12.03</x:v>
      </x:c>
      <x:c r="G22" s="10" t="n">
        <x:v>5.89</x:v>
      </x:c>
      <x:c r="H22" s="10" t="n">
        <x:v>1073</x:v>
      </x:c>
      <x:c r="I22" s="10" t="n">
        <x:v>12.17</x:v>
      </x:c>
      <x:c r="J22" s="10" t="n">
        <x:v>6.13</x:v>
      </x:c>
      <x:c r="K22" s="10" t="n">
        <x:v>13882.62</x:v>
      </x:c>
      <x:c r="L22" s="10" t="n">
        <x:v>13058.41</x:v>
      </x:c>
      <x:c r="M22" s="10" t="n">
        <x:v>6797.06</x:v>
      </x:c>
      <x:c r="N22" s="10" t="n">
        <x:v>6577.49</x:v>
      </x:c>
    </x:row>
    <x:row r="23">
      <x:c r="A23" t="str">
        <x:v>2025-02</x:v>
      </x:c>
      <x:c r="B23" t="str">
        <x:v>AT-002</x:v>
      </x:c>
      <x:c r="C23" t="str">
        <x:v>Home Essentials</x:v>
      </x:c>
      <x:c r="D23" t="str">
        <x:v>Home Essentials Product 2</x:v>
      </x:c>
      <x:c r="E23" s="10" t="n">
        <x:v>1252</x:v>
      </x:c>
      <x:c r="F23" s="10" t="n">
        <x:v>15.54</x:v>
      </x:c>
      <x:c r="G23" s="10" t="n">
        <x:v>7.8</x:v>
      </x:c>
      <x:c r="H23" s="10" t="n">
        <x:v>1214</x:v>
      </x:c>
      <x:c r="I23" s="10" t="n">
        <x:v>14.73</x:v>
      </x:c>
      <x:c r="J23" s="10" t="n">
        <x:v>8.14</x:v>
      </x:c>
      <x:c r="K23" s="10" t="n">
        <x:v>19456.08</x:v>
      </x:c>
      <x:c r="L23" s="10" t="n">
        <x:v>17882.22</x:v>
      </x:c>
      <x:c r="M23" s="10" t="n">
        <x:v>9765.6</x:v>
      </x:c>
      <x:c r="N23" s="10" t="n">
        <x:v>9881.96</x:v>
      </x:c>
    </x:row>
    <x:row r="24">
      <x:c r="A24" t="str">
        <x:v>2025-02</x:v>
      </x:c>
      <x:c r="B24" t="str">
        <x:v>AT-003</x:v>
      </x:c>
      <x:c r="C24" t="str">
        <x:v>Home Essentials</x:v>
      </x:c>
      <x:c r="D24" t="str">
        <x:v>Home Essentials Product 3</x:v>
      </x:c>
      <x:c r="E24" s="10" t="n">
        <x:v>1347</x:v>
      </x:c>
      <x:c r="F24" s="10" t="n">
        <x:v>19.04</x:v>
      </x:c>
      <x:c r="G24" s="10" t="n">
        <x:v>9.79</x:v>
      </x:c>
      <x:c r="H24" s="10" t="n">
        <x:v>1513</x:v>
      </x:c>
      <x:c r="I24" s="10" t="n">
        <x:v>18.1</x:v>
      </x:c>
      <x:c r="J24" s="10" t="n">
        <x:v>10.45</x:v>
      </x:c>
      <x:c r="K24" s="10" t="n">
        <x:v>25646.88</x:v>
      </x:c>
      <x:c r="L24" s="10" t="n">
        <x:v>27385.3</x:v>
      </x:c>
      <x:c r="M24" s="10" t="n">
        <x:v>13187.13</x:v>
      </x:c>
      <x:c r="N24" s="10" t="n">
        <x:v>15810.85</x:v>
      </x:c>
    </x:row>
    <x:row r="25">
      <x:c r="A25" t="str">
        <x:v>2025-02</x:v>
      </x:c>
      <x:c r="B25" t="str">
        <x:v>AT-004</x:v>
      </x:c>
      <x:c r="C25" t="str">
        <x:v>Home Essentials</x:v>
      </x:c>
      <x:c r="D25" t="str">
        <x:v>Home Essentials Product 4</x:v>
      </x:c>
      <x:c r="E25" s="10" t="n">
        <x:v>1414</x:v>
      </x:c>
      <x:c r="F25" s="10" t="n">
        <x:v>22.55</x:v>
      </x:c>
      <x:c r="G25" s="10" t="n">
        <x:v>11.86</x:v>
      </x:c>
      <x:c r="H25" s="10" t="n">
        <x:v>1296</x:v>
      </x:c>
      <x:c r="I25" s="10" t="n">
        <x:v>21.33</x:v>
      </x:c>
      <x:c r="J25" s="10" t="n">
        <x:v>12.91</x:v>
      </x:c>
      <x:c r="K25" s="10" t="n">
        <x:v>31885.7</x:v>
      </x:c>
      <x:c r="L25" s="10" t="n">
        <x:v>27643.68</x:v>
      </x:c>
      <x:c r="M25" s="10" t="n">
        <x:v>16770.04</x:v>
      </x:c>
      <x:c r="N25" s="10" t="n">
        <x:v>16731.36</x:v>
      </x:c>
    </x:row>
    <x:row r="26">
      <x:c r="A26" t="str">
        <x:v>2025-02</x:v>
      </x:c>
      <x:c r="B26" t="str">
        <x:v>AT-005</x:v>
      </x:c>
      <x:c r="C26" t="str">
        <x:v>Home Essentials</x:v>
      </x:c>
      <x:c r="D26" t="str">
        <x:v>Home Essentials Product 5</x:v>
      </x:c>
      <x:c r="E26" s="10" t="n">
        <x:v>1547</x:v>
      </x:c>
      <x:c r="F26" s="10" t="n">
        <x:v>26.06</x:v>
      </x:c>
      <x:c r="G26" s="10" t="n">
        <x:v>14.02</x:v>
      </x:c>
      <x:c r="H26" s="10" t="n">
        <x:v>1478</x:v>
      </x:c>
      <x:c r="I26" s="10" t="n">
        <x:v>24.82</x:v>
      </x:c>
      <x:c r="J26" s="10" t="n">
        <x:v>14.86</x:v>
      </x:c>
      <x:c r="K26" s="10" t="n">
        <x:v>40314.82</x:v>
      </x:c>
      <x:c r="L26" s="10" t="n">
        <x:v>36683.96</x:v>
      </x:c>
      <x:c r="M26" s="10" t="n">
        <x:v>21688.94</x:v>
      </x:c>
      <x:c r="N26" s="10" t="n">
        <x:v>21963.08</x:v>
      </x:c>
    </x:row>
    <x:row r="27">
      <x:c r="A27" t="str">
        <x:v>2025-02</x:v>
      </x:c>
      <x:c r="B27" t="str">
        <x:v>AT-006</x:v>
      </x:c>
      <x:c r="C27" t="str">
        <x:v>Personal Care</x:v>
      </x:c>
      <x:c r="D27" t="str">
        <x:v>Personal Care Product 1</x:v>
      </x:c>
      <x:c r="E27" s="10" t="n">
        <x:v>1066</x:v>
      </x:c>
      <x:c r="F27" s="10" t="n">
        <x:v>20.05</x:v>
      </x:c>
      <x:c r="G27" s="10" t="n">
        <x:v>10.53</x:v>
      </x:c>
      <x:c r="H27" s="10" t="n">
        <x:v>1191</x:v>
      </x:c>
      <x:c r="I27" s="10" t="n">
        <x:v>20.12</x:v>
      </x:c>
      <x:c r="J27" s="10" t="n">
        <x:v>10.93</x:v>
      </x:c>
      <x:c r="K27" s="10" t="n">
        <x:v>21373.3</x:v>
      </x:c>
      <x:c r="L27" s="10" t="n">
        <x:v>23962.92</x:v>
      </x:c>
      <x:c r="M27" s="10" t="n">
        <x:v>11224.98</x:v>
      </x:c>
      <x:c r="N27" s="10" t="n">
        <x:v>13017.63</x:v>
      </x:c>
    </x:row>
    <x:row r="28">
      <x:c r="A28" t="str">
        <x:v>2025-02</x:v>
      </x:c>
      <x:c r="B28" t="str">
        <x:v>AT-007</x:v>
      </x:c>
      <x:c r="C28" t="str">
        <x:v>Personal Care</x:v>
      </x:c>
      <x:c r="D28" t="str">
        <x:v>Personal Care Product 2</x:v>
      </x:c>
      <x:c r="E28" s="10" t="n">
        <x:v>1138</x:v>
      </x:c>
      <x:c r="F28" s="10" t="n">
        <x:v>23.55</x:v>
      </x:c>
      <x:c r="G28" s="10" t="n">
        <x:v>12.65</x:v>
      </x:c>
      <x:c r="H28" s="10" t="n">
        <x:v>1256</x:v>
      </x:c>
      <x:c r="I28" s="10" t="n">
        <x:v>22.82</x:v>
      </x:c>
      <x:c r="J28" s="10" t="n">
        <x:v>12.95</x:v>
      </x:c>
      <x:c r="K28" s="10" t="n">
        <x:v>26799.9</x:v>
      </x:c>
      <x:c r="L28" s="10" t="n">
        <x:v>28661.92</x:v>
      </x:c>
      <x:c r="M28" s="10" t="n">
        <x:v>14395.7</x:v>
      </x:c>
      <x:c r="N28" s="10" t="n">
        <x:v>16265.2</x:v>
      </x:c>
    </x:row>
    <x:row r="29">
      <x:c r="A29" t="str">
        <x:v>2025-02</x:v>
      </x:c>
      <x:c r="B29" t="str">
        <x:v>AT-008</x:v>
      </x:c>
      <x:c r="C29" t="str">
        <x:v>Personal Care</x:v>
      </x:c>
      <x:c r="D29" t="str">
        <x:v>Personal Care Product 3</x:v>
      </x:c>
      <x:c r="E29" s="10" t="n">
        <x:v>1250</x:v>
      </x:c>
      <x:c r="F29" s="10" t="n">
        <x:v>27.06</x:v>
      </x:c>
      <x:c r="G29" s="10" t="n">
        <x:v>14.86</x:v>
      </x:c>
      <x:c r="H29" s="10" t="n">
        <x:v>1255</x:v>
      </x:c>
      <x:c r="I29" s="10" t="n">
        <x:v>27.11</x:v>
      </x:c>
      <x:c r="J29" s="10" t="n">
        <x:v>16.22</x:v>
      </x:c>
      <x:c r="K29" s="10" t="n">
        <x:v>33825</x:v>
      </x:c>
      <x:c r="L29" s="10" t="n">
        <x:v>34023.05</x:v>
      </x:c>
      <x:c r="M29" s="10" t="n">
        <x:v>18575</x:v>
      </x:c>
      <x:c r="N29" s="10" t="n">
        <x:v>20356.1</x:v>
      </x:c>
    </x:row>
    <x:row r="30">
      <x:c r="A30" t="str">
        <x:v>2025-02</x:v>
      </x:c>
      <x:c r="B30" t="str">
        <x:v>AT-009</x:v>
      </x:c>
      <x:c r="C30" t="str">
        <x:v>Personal Care</x:v>
      </x:c>
      <x:c r="D30" t="str">
        <x:v>Personal Care Product 4</x:v>
      </x:c>
      <x:c r="E30" s="10" t="n">
        <x:v>1370</x:v>
      </x:c>
      <x:c r="F30" s="10" t="n">
        <x:v>30.57</x:v>
      </x:c>
      <x:c r="G30" s="10" t="n">
        <x:v>17.15</x:v>
      </x:c>
      <x:c r="H30" s="10" t="n">
        <x:v>1409</x:v>
      </x:c>
      <x:c r="I30" s="10" t="n">
        <x:v>30.57</x:v>
      </x:c>
      <x:c r="J30" s="10" t="n">
        <x:v>17.43</x:v>
      </x:c>
      <x:c r="K30" s="10" t="n">
        <x:v>41880.9</x:v>
      </x:c>
      <x:c r="L30" s="10" t="n">
        <x:v>43073.13</x:v>
      </x:c>
      <x:c r="M30" s="10" t="n">
        <x:v>23495.5</x:v>
      </x:c>
      <x:c r="N30" s="10" t="n">
        <x:v>24558.87</x:v>
      </x:c>
    </x:row>
    <x:row r="31">
      <x:c r="A31" t="str">
        <x:v>2025-02</x:v>
      </x:c>
      <x:c r="B31" t="str">
        <x:v>AT-010</x:v>
      </x:c>
      <x:c r="C31" t="str">
        <x:v>Personal Care</x:v>
      </x:c>
      <x:c r="D31" t="str">
        <x:v>Personal Care Product 5</x:v>
      </x:c>
      <x:c r="E31" s="10" t="n">
        <x:v>1430</x:v>
      </x:c>
      <x:c r="F31" s="10" t="n">
        <x:v>34.08</x:v>
      </x:c>
      <x:c r="G31" s="10" t="n">
        <x:v>19.53</x:v>
      </x:c>
      <x:c r="H31" s="10" t="n">
        <x:v>1552</x:v>
      </x:c>
      <x:c r="I31" s="10" t="n">
        <x:v>34.79</x:v>
      </x:c>
      <x:c r="J31" s="10" t="n">
        <x:v>21.21</x:v>
      </x:c>
      <x:c r="K31" s="10" t="n">
        <x:v>48734.4</x:v>
      </x:c>
      <x:c r="L31" s="10" t="n">
        <x:v>53994.08</x:v>
      </x:c>
      <x:c r="M31" s="10" t="n">
        <x:v>27927.9</x:v>
      </x:c>
      <x:c r="N31" s="10" t="n">
        <x:v>32917.92</x:v>
      </x:c>
    </x:row>
    <x:row r="32">
      <x:c r="A32" t="str">
        <x:v>2025-02</x:v>
      </x:c>
      <x:c r="B32" t="str">
        <x:v>AT-011</x:v>
      </x:c>
      <x:c r="C32" t="str">
        <x:v>Office Supplies</x:v>
      </x:c>
      <x:c r="D32" t="str">
        <x:v>Office Supplies Product 1</x:v>
      </x:c>
      <x:c r="E32" s="10" t="n">
        <x:v>974</x:v>
      </x:c>
      <x:c r="F32" s="10" t="n">
        <x:v>28.06</x:v>
      </x:c>
      <x:c r="G32" s="10" t="n">
        <x:v>15.71</x:v>
      </x:c>
      <x:c r="H32" s="10" t="n">
        <x:v>1080</x:v>
      </x:c>
      <x:c r="I32" s="10" t="n">
        <x:v>28.64</x:v>
      </x:c>
      <x:c r="J32" s="10" t="n">
        <x:v>16.76</x:v>
      </x:c>
      <x:c r="K32" s="10" t="n">
        <x:v>27330.44</x:v>
      </x:c>
      <x:c r="L32" s="10" t="n">
        <x:v>30931.2</x:v>
      </x:c>
      <x:c r="M32" s="10" t="n">
        <x:v>15301.54</x:v>
      </x:c>
      <x:c r="N32" s="10" t="n">
        <x:v>18100.8</x:v>
      </x:c>
    </x:row>
    <x:row r="33">
      <x:c r="A33" t="str">
        <x:v>2025-02</x:v>
      </x:c>
      <x:c r="B33" t="str">
        <x:v>AT-012</x:v>
      </x:c>
      <x:c r="C33" t="str">
        <x:v>Office Supplies</x:v>
      </x:c>
      <x:c r="D33" t="str">
        <x:v>Office Supplies Product 2</x:v>
      </x:c>
      <x:c r="E33" s="10" t="n">
        <x:v>1082</x:v>
      </x:c>
      <x:c r="F33" s="10" t="n">
        <x:v>31.57</x:v>
      </x:c>
      <x:c r="G33" s="10" t="n">
        <x:v>18.06</x:v>
      </x:c>
      <x:c r="H33" s="10" t="n">
        <x:v>933</x:v>
      </x:c>
      <x:c r="I33" s="10" t="n">
        <x:v>30.04</x:v>
      </x:c>
      <x:c r="J33" s="10" t="n">
        <x:v>18.99</x:v>
      </x:c>
      <x:c r="K33" s="10" t="n">
        <x:v>34158.74</x:v>
      </x:c>
      <x:c r="L33" s="10" t="n">
        <x:v>28027.32</x:v>
      </x:c>
      <x:c r="M33" s="10" t="n">
        <x:v>19540.92</x:v>
      </x:c>
      <x:c r="N33" s="10" t="n">
        <x:v>17717.67</x:v>
      </x:c>
    </x:row>
    <x:row r="34">
      <x:c r="A34" t="str">
        <x:v>2025-02</x:v>
      </x:c>
      <x:c r="B34" t="str">
        <x:v>AT-013</x:v>
      </x:c>
      <x:c r="C34" t="str">
        <x:v>Office Supplies</x:v>
      </x:c>
      <x:c r="D34" t="str">
        <x:v>Office Supplies Product 3</x:v>
      </x:c>
      <x:c r="E34" s="10" t="n">
        <x:v>1206</x:v>
      </x:c>
      <x:c r="F34" s="10" t="n">
        <x:v>35.08</x:v>
      </x:c>
      <x:c r="G34" s="10" t="n">
        <x:v>20.49</x:v>
      </x:c>
      <x:c r="H34" s="10" t="n">
        <x:v>1273</x:v>
      </x:c>
      <x:c r="I34" s="10" t="n">
        <x:v>35.13</x:v>
      </x:c>
      <x:c r="J34" s="10" t="n">
        <x:v>21.56</x:v>
      </x:c>
      <x:c r="K34" s="10" t="n">
        <x:v>42306.48</x:v>
      </x:c>
      <x:c r="L34" s="10" t="n">
        <x:v>44720.49</x:v>
      </x:c>
      <x:c r="M34" s="10" t="n">
        <x:v>24710.94</x:v>
      </x:c>
      <x:c r="N34" s="10" t="n">
        <x:v>27445.88</x:v>
      </x:c>
    </x:row>
    <x:row r="35">
      <x:c r="A35" t="str">
        <x:v>2025-02</x:v>
      </x:c>
      <x:c r="B35" t="str">
        <x:v>AT-014</x:v>
      </x:c>
      <x:c r="C35" t="str">
        <x:v>Office Supplies</x:v>
      </x:c>
      <x:c r="D35" t="str">
        <x:v>Office Supplies Product 4</x:v>
      </x:c>
      <x:c r="E35" s="10" t="n">
        <x:v>1289</x:v>
      </x:c>
      <x:c r="F35" s="10" t="n">
        <x:v>38.59</x:v>
      </x:c>
      <x:c r="G35" s="10" t="n">
        <x:v>23</x:v>
      </x:c>
      <x:c r="H35" s="10" t="n">
        <x:v>1386</x:v>
      </x:c>
      <x:c r="I35" s="10" t="n">
        <x:v>36.85</x:v>
      </x:c>
      <x:c r="J35" s="10" t="n">
        <x:v>24.03</x:v>
      </x:c>
      <x:c r="K35" s="10" t="n">
        <x:v>49742.51</x:v>
      </x:c>
      <x:c r="L35" s="10" t="n">
        <x:v>51074.1</x:v>
      </x:c>
      <x:c r="M35" s="10" t="n">
        <x:v>29647</x:v>
      </x:c>
      <x:c r="N35" s="10" t="n">
        <x:v>33305.58</x:v>
      </x:c>
    </x:row>
    <x:row r="36">
      <x:c r="A36" t="str">
        <x:v>2025-02</x:v>
      </x:c>
      <x:c r="B36" t="str">
        <x:v>AT-015</x:v>
      </x:c>
      <x:c r="C36" t="str">
        <x:v>Office Supplies</x:v>
      </x:c>
      <x:c r="D36" t="str">
        <x:v>Office Supplies Product 5</x:v>
      </x:c>
      <x:c r="E36" s="10" t="n">
        <x:v>1389</x:v>
      </x:c>
      <x:c r="F36" s="10" t="n">
        <x:v>42.1</x:v>
      </x:c>
      <x:c r="G36" s="10" t="n">
        <x:v>25.6</x:v>
      </x:c>
      <x:c r="H36" s="10" t="n">
        <x:v>1236</x:v>
      </x:c>
      <x:c r="I36" s="10" t="n">
        <x:v>40.53</x:v>
      </x:c>
      <x:c r="J36" s="10" t="n">
        <x:v>27.31</x:v>
      </x:c>
      <x:c r="K36" s="10" t="n">
        <x:v>58476.9</x:v>
      </x:c>
      <x:c r="L36" s="10" t="n">
        <x:v>50095.08</x:v>
      </x:c>
      <x:c r="M36" s="10" t="n">
        <x:v>35558.4</x:v>
      </x:c>
      <x:c r="N36" s="10" t="n">
        <x:v>33755.16</x:v>
      </x:c>
    </x:row>
    <x:row r="37">
      <x:c r="A37" t="str">
        <x:v>2025-02</x:v>
      </x:c>
      <x:c r="B37" t="str">
        <x:v>AT-016</x:v>
      </x:c>
      <x:c r="C37" t="str">
        <x:v>Lifestyle Accessories</x:v>
      </x:c>
      <x:c r="D37" t="str">
        <x:v>Lifestyle Accessories Product 1</x:v>
      </x:c>
      <x:c r="E37" s="10" t="n">
        <x:v>888</x:v>
      </x:c>
      <x:c r="F37" s="10" t="n">
        <x:v>36.08</x:v>
      </x:c>
      <x:c r="G37" s="10" t="n">
        <x:v>21.47</x:v>
      </x:c>
      <x:c r="H37" s="10" t="n">
        <x:v>882</x:v>
      </x:c>
      <x:c r="I37" s="10" t="n">
        <x:v>36.8</x:v>
      </x:c>
      <x:c r="J37" s="10" t="n">
        <x:v>22.3</x:v>
      </x:c>
      <x:c r="K37" s="10" t="n">
        <x:v>32039.04</x:v>
      </x:c>
      <x:c r="L37" s="10" t="n">
        <x:v>32457.6</x:v>
      </x:c>
      <x:c r="M37" s="10" t="n">
        <x:v>19065.36</x:v>
      </x:c>
      <x:c r="N37" s="10" t="n">
        <x:v>19668.6</x:v>
      </x:c>
    </x:row>
    <x:row r="38">
      <x:c r="A38" t="str">
        <x:v>2025-02</x:v>
      </x:c>
      <x:c r="B38" t="str">
        <x:v>AT-017</x:v>
      </x:c>
      <x:c r="C38" t="str">
        <x:v>Lifestyle Accessories</x:v>
      </x:c>
      <x:c r="D38" t="str">
        <x:v>Lifestyle Accessories Product 2</x:v>
      </x:c>
      <x:c r="E38" s="10" t="n">
        <x:v>1008</x:v>
      </x:c>
      <x:c r="F38" s="10" t="n">
        <x:v>39.59</x:v>
      </x:c>
      <x:c r="G38" s="10" t="n">
        <x:v>24.03</x:v>
      </x:c>
      <x:c r="H38" s="10" t="n">
        <x:v>1020</x:v>
      </x:c>
      <x:c r="I38" s="10" t="n">
        <x:v>37.87</x:v>
      </x:c>
      <x:c r="J38" s="10" t="n">
        <x:v>25.81</x:v>
      </x:c>
      <x:c r="K38" s="10" t="n">
        <x:v>39906.72</x:v>
      </x:c>
      <x:c r="L38" s="10" t="n">
        <x:v>38627.4</x:v>
      </x:c>
      <x:c r="M38" s="10" t="n">
        <x:v>24222.24</x:v>
      </x:c>
      <x:c r="N38" s="10" t="n">
        <x:v>26326.2</x:v>
      </x:c>
    </x:row>
    <x:row r="39">
      <x:c r="A39" t="str">
        <x:v>2025-02</x:v>
      </x:c>
      <x:c r="B39" t="str">
        <x:v>AT-018</x:v>
      </x:c>
      <x:c r="C39" t="str">
        <x:v>Lifestyle Accessories</x:v>
      </x:c>
      <x:c r="D39" t="str">
        <x:v>Lifestyle Accessories Product 3</x:v>
      </x:c>
      <x:c r="E39" s="10" t="n">
        <x:v>1122</x:v>
      </x:c>
      <x:c r="F39" s="10" t="n">
        <x:v>43.1</x:v>
      </x:c>
      <x:c r="G39" s="10" t="n">
        <x:v>26.68</x:v>
      </x:c>
      <x:c r="H39" s="10" t="n">
        <x:v>1173</x:v>
      </x:c>
      <x:c r="I39" s="10" t="n">
        <x:v>43.82</x:v>
      </x:c>
      <x:c r="J39" s="10" t="n">
        <x:v>27.44</x:v>
      </x:c>
      <x:c r="K39" s="10" t="n">
        <x:v>48358.2</x:v>
      </x:c>
      <x:c r="L39" s="10" t="n">
        <x:v>51400.86</x:v>
      </x:c>
      <x:c r="M39" s="10" t="n">
        <x:v>29934.96</x:v>
      </x:c>
      <x:c r="N39" s="10" t="n">
        <x:v>32187.12</x:v>
      </x:c>
    </x:row>
    <x:row r="40">
      <x:c r="A40" t="str">
        <x:v>2025-02</x:v>
      </x:c>
      <x:c r="B40" t="str">
        <x:v>AT-019</x:v>
      </x:c>
      <x:c r="C40" t="str">
        <x:v>Lifestyle Accessories</x:v>
      </x:c>
      <x:c r="D40" t="str">
        <x:v>Lifestyle Accessories Product 4</x:v>
      </x:c>
      <x:c r="E40" s="10" t="n">
        <x:v>1204</x:v>
      </x:c>
      <x:c r="F40" s="10" t="n">
        <x:v>46.61</x:v>
      </x:c>
      <x:c r="G40" s="10" t="n">
        <x:v>29.41</x:v>
      </x:c>
      <x:c r="H40" s="10" t="n">
        <x:v>1094</x:v>
      </x:c>
      <x:c r="I40" s="10" t="n">
        <x:v>44.79</x:v>
      </x:c>
      <x:c r="J40" s="10" t="n">
        <x:v>31.57</x:v>
      </x:c>
      <x:c r="K40" s="10" t="n">
        <x:v>56118.44</x:v>
      </x:c>
      <x:c r="L40" s="10" t="n">
        <x:v>49000.26</x:v>
      </x:c>
      <x:c r="M40" s="10" t="n">
        <x:v>35409.64</x:v>
      </x:c>
      <x:c r="N40" s="10" t="n">
        <x:v>34537.58</x:v>
      </x:c>
    </x:row>
    <x:row r="41">
      <x:c r="A41" t="str">
        <x:v>2025-02</x:v>
      </x:c>
      <x:c r="B41" t="str">
        <x:v>AT-020</x:v>
      </x:c>
      <x:c r="C41" t="str">
        <x:v>Lifestyle Accessories</x:v>
      </x:c>
      <x:c r="D41" t="str">
        <x:v>Lifestyle Accessories Product 5</x:v>
      </x:c>
      <x:c r="E41" s="10" t="n">
        <x:v>1330</x:v>
      </x:c>
      <x:c r="F41" s="10" t="n">
        <x:v>50.11</x:v>
      </x:c>
      <x:c r="G41" s="10" t="n">
        <x:v>32.22</x:v>
      </x:c>
      <x:c r="H41" s="10" t="n">
        <x:v>1165</x:v>
      </x:c>
      <x:c r="I41" s="10" t="n">
        <x:v>49.36</x:v>
      </x:c>
      <x:c r="J41" s="10" t="n">
        <x:v>33.53</x:v>
      </x:c>
      <x:c r="K41" s="10" t="n">
        <x:v>66646.3</x:v>
      </x:c>
      <x:c r="L41" s="10" t="n">
        <x:v>57504.4</x:v>
      </x:c>
      <x:c r="M41" s="10" t="n">
        <x:v>42852.6</x:v>
      </x:c>
      <x:c r="N41" s="10" t="n">
        <x:v>39062.45</x:v>
      </x:c>
    </x:row>
    <x:row r="42">
      <x:c r="A42" t="str">
        <x:v>2025-03</x:v>
      </x:c>
      <x:c r="B42" t="str">
        <x:v>AT-001</x:v>
      </x:c>
      <x:c r="C42" t="str">
        <x:v>Home Essentials</x:v>
      </x:c>
      <x:c r="D42" t="str">
        <x:v>Home Essentials Product 1</x:v>
      </x:c>
      <x:c r="E42" s="10" t="n">
        <x:v>1267</x:v>
      </x:c>
      <x:c r="F42" s="10" t="n">
        <x:v>12.05</x:v>
      </x:c>
      <x:c r="G42" s="10" t="n">
        <x:v>5.9</x:v>
      </x:c>
      <x:c r="H42" s="10" t="n">
        <x:v>1454</x:v>
      </x:c>
      <x:c r="I42" s="10" t="n">
        <x:v>12.41</x:v>
      </x:c>
      <x:c r="J42" s="10" t="n">
        <x:v>6.26</x:v>
      </x:c>
      <x:c r="K42" s="10" t="n">
        <x:v>15267.35</x:v>
      </x:c>
      <x:c r="L42" s="10" t="n">
        <x:v>18044.14</x:v>
      </x:c>
      <x:c r="M42" s="10" t="n">
        <x:v>7475.3</x:v>
      </x:c>
      <x:c r="N42" s="10" t="n">
        <x:v>9102.04</x:v>
      </x:c>
    </x:row>
    <x:row r="43">
      <x:c r="A43" t="str">
        <x:v>2025-03</x:v>
      </x:c>
      <x:c r="B43" t="str">
        <x:v>AT-002</x:v>
      </x:c>
      <x:c r="C43" t="str">
        <x:v>Home Essentials</x:v>
      </x:c>
      <x:c r="D43" t="str">
        <x:v>Home Essentials Product 2</x:v>
      </x:c>
      <x:c r="E43" s="10" t="n">
        <x:v>1389</x:v>
      </x:c>
      <x:c r="F43" s="10" t="n">
        <x:v>15.57</x:v>
      </x:c>
      <x:c r="G43" s="10" t="n">
        <x:v>7.82</x:v>
      </x:c>
      <x:c r="H43" s="10" t="n">
        <x:v>1226</x:v>
      </x:c>
      <x:c r="I43" s="10" t="n">
        <x:v>15.84</x:v>
      </x:c>
      <x:c r="J43" s="10" t="n">
        <x:v>7.96</x:v>
      </x:c>
      <x:c r="K43" s="10" t="n">
        <x:v>21626.73</x:v>
      </x:c>
      <x:c r="L43" s="10" t="n">
        <x:v>19419.84</x:v>
      </x:c>
      <x:c r="M43" s="10" t="n">
        <x:v>10861.98</x:v>
      </x:c>
      <x:c r="N43" s="10" t="n">
        <x:v>9758.96</x:v>
      </x:c>
    </x:row>
    <x:row r="44">
      <x:c r="A44" t="str">
        <x:v>2025-03</x:v>
      </x:c>
      <x:c r="B44" t="str">
        <x:v>AT-003</x:v>
      </x:c>
      <x:c r="C44" t="str">
        <x:v>Home Essentials</x:v>
      </x:c>
      <x:c r="D44" t="str">
        <x:v>Home Essentials Product 3</x:v>
      </x:c>
      <x:c r="E44" s="10" t="n">
        <x:v>1537</x:v>
      </x:c>
      <x:c r="F44" s="10" t="n">
        <x:v>19.09</x:v>
      </x:c>
      <x:c r="G44" s="10" t="n">
        <x:v>9.81</x:v>
      </x:c>
      <x:c r="H44" s="10" t="n">
        <x:v>1628</x:v>
      </x:c>
      <x:c r="I44" s="10" t="n">
        <x:v>19.18</x:v>
      </x:c>
      <x:c r="J44" s="10" t="n">
        <x:v>10.27</x:v>
      </x:c>
      <x:c r="K44" s="10" t="n">
        <x:v>29341.33</x:v>
      </x:c>
      <x:c r="L44" s="10" t="n">
        <x:v>31225.04</x:v>
      </x:c>
      <x:c r="M44" s="10" t="n">
        <x:v>15077.97</x:v>
      </x:c>
      <x:c r="N44" s="10" t="n">
        <x:v>16719.56</x:v>
      </x:c>
    </x:row>
    <x:row r="45">
      <x:c r="A45" t="str">
        <x:v>2025-03</x:v>
      </x:c>
      <x:c r="B45" t="str">
        <x:v>AT-004</x:v>
      </x:c>
      <x:c r="C45" t="str">
        <x:v>Home Essentials</x:v>
      </x:c>
      <x:c r="D45" t="str">
        <x:v>Home Essentials Product 4</x:v>
      </x:c>
      <x:c r="E45" s="10" t="n">
        <x:v>1604</x:v>
      </x:c>
      <x:c r="F45" s="10" t="n">
        <x:v>22.6</x:v>
      </x:c>
      <x:c r="G45" s="10" t="n">
        <x:v>11.89</x:v>
      </x:c>
      <x:c r="H45" s="10" t="n">
        <x:v>1805</x:v>
      </x:c>
      <x:c r="I45" s="10" t="n">
        <x:v>21.77</x:v>
      </x:c>
      <x:c r="J45" s="10" t="n">
        <x:v>12.13</x:v>
      </x:c>
      <x:c r="K45" s="10" t="n">
        <x:v>36250.4</x:v>
      </x:c>
      <x:c r="L45" s="10" t="n">
        <x:v>39294.85</x:v>
      </x:c>
      <x:c r="M45" s="10" t="n">
        <x:v>19071.56</x:v>
      </x:c>
      <x:c r="N45" s="10" t="n">
        <x:v>21894.65</x:v>
      </x:c>
    </x:row>
    <x:row r="46">
      <x:c r="A46" t="str">
        <x:v>2025-03</x:v>
      </x:c>
      <x:c r="B46" t="str">
        <x:v>AT-005</x:v>
      </x:c>
      <x:c r="C46" t="str">
        <x:v>Home Essentials</x:v>
      </x:c>
      <x:c r="D46" t="str">
        <x:v>Home Essentials Product 5</x:v>
      </x:c>
      <x:c r="E46" s="10" t="n">
        <x:v>1723</x:v>
      </x:c>
      <x:c r="F46" s="10" t="n">
        <x:v>26.12</x:v>
      </x:c>
      <x:c r="G46" s="10" t="n">
        <x:v>14.05</x:v>
      </x:c>
      <x:c r="H46" s="10" t="n">
        <x:v>1905</x:v>
      </x:c>
      <x:c r="I46" s="10" t="n">
        <x:v>26.71</x:v>
      </x:c>
      <x:c r="J46" s="10" t="n">
        <x:v>15.29</x:v>
      </x:c>
      <x:c r="K46" s="10" t="n">
        <x:v>45004.76</x:v>
      </x:c>
      <x:c r="L46" s="10" t="n">
        <x:v>50882.55</x:v>
      </x:c>
      <x:c r="M46" s="10" t="n">
        <x:v>24208.15</x:v>
      </x:c>
      <x:c r="N46" s="10" t="n">
        <x:v>29127.45</x:v>
      </x:c>
    </x:row>
    <x:row r="47">
      <x:c r="A47" t="str">
        <x:v>2025-03</x:v>
      </x:c>
      <x:c r="B47" t="str">
        <x:v>AT-006</x:v>
      </x:c>
      <x:c r="C47" t="str">
        <x:v>Personal Care</x:v>
      </x:c>
      <x:c r="D47" t="str">
        <x:v>Personal Care Product 1</x:v>
      </x:c>
      <x:c r="E47" s="10" t="n">
        <x:v>1229</x:v>
      </x:c>
      <x:c r="F47" s="10" t="n">
        <x:v>20.09</x:v>
      </x:c>
      <x:c r="G47" s="10" t="n">
        <x:v>10.55</x:v>
      </x:c>
      <x:c r="H47" s="10" t="n">
        <x:v>1203</x:v>
      </x:c>
      <x:c r="I47" s="10" t="n">
        <x:v>19.08</x:v>
      </x:c>
      <x:c r="J47" s="10" t="n">
        <x:v>10.92</x:v>
      </x:c>
      <x:c r="K47" s="10" t="n">
        <x:v>24690.61</x:v>
      </x:c>
      <x:c r="L47" s="10" t="n">
        <x:v>22953.24</x:v>
      </x:c>
      <x:c r="M47" s="10" t="n">
        <x:v>12965.95</x:v>
      </x:c>
      <x:c r="N47" s="10" t="n">
        <x:v>13136.76</x:v>
      </x:c>
    </x:row>
    <x:row r="48">
      <x:c r="A48" t="str">
        <x:v>2025-03</x:v>
      </x:c>
      <x:c r="B48" t="str">
        <x:v>AT-007</x:v>
      </x:c>
      <x:c r="C48" t="str">
        <x:v>Personal Care</x:v>
      </x:c>
      <x:c r="D48" t="str">
        <x:v>Personal Care Product 2</x:v>
      </x:c>
      <x:c r="E48" s="10" t="n">
        <x:v>1338</x:v>
      </x:c>
      <x:c r="F48" s="10" t="n">
        <x:v>23.61</x:v>
      </x:c>
      <x:c r="G48" s="10" t="n">
        <x:v>12.68</x:v>
      </x:c>
      <x:c r="H48" s="10" t="n">
        <x:v>1161</x:v>
      </x:c>
      <x:c r="I48" s="10" t="n">
        <x:v>23.56</x:v>
      </x:c>
      <x:c r="J48" s="10" t="n">
        <x:v>12.91</x:v>
      </x:c>
      <x:c r="K48" s="10" t="n">
        <x:v>31590.18</x:v>
      </x:c>
      <x:c r="L48" s="10" t="n">
        <x:v>27353.16</x:v>
      </x:c>
      <x:c r="M48" s="10" t="n">
        <x:v>16965.84</x:v>
      </x:c>
      <x:c r="N48" s="10" t="n">
        <x:v>14988.51</x:v>
      </x:c>
    </x:row>
    <x:row r="49">
      <x:c r="A49" t="str">
        <x:v>2025-03</x:v>
      </x:c>
      <x:c r="B49" t="str">
        <x:v>AT-008</x:v>
      </x:c>
      <x:c r="C49" t="str">
        <x:v>Personal Care</x:v>
      </x:c>
      <x:c r="D49" t="str">
        <x:v>Personal Care Product 3</x:v>
      </x:c>
      <x:c r="E49" s="10" t="n">
        <x:v>1470</x:v>
      </x:c>
      <x:c r="F49" s="10" t="n">
        <x:v>27.12</x:v>
      </x:c>
      <x:c r="G49" s="10" t="n">
        <x:v>14.89</x:v>
      </x:c>
      <x:c r="H49" s="10" t="n">
        <x:v>1405</x:v>
      </x:c>
      <x:c r="I49" s="10" t="n">
        <x:v>25.75</x:v>
      </x:c>
      <x:c r="J49" s="10" t="n">
        <x:v>15.82</x:v>
      </x:c>
      <x:c r="K49" s="10" t="n">
        <x:v>39866.4</x:v>
      </x:c>
      <x:c r="L49" s="10" t="n">
        <x:v>36178.75</x:v>
      </x:c>
      <x:c r="M49" s="10" t="n">
        <x:v>21888.3</x:v>
      </x:c>
      <x:c r="N49" s="10" t="n">
        <x:v>22227.1</x:v>
      </x:c>
    </x:row>
    <x:row r="50">
      <x:c r="A50" t="str">
        <x:v>2025-03</x:v>
      </x:c>
      <x:c r="B50" t="str">
        <x:v>AT-009</x:v>
      </x:c>
      <x:c r="C50" t="str">
        <x:v>Personal Care</x:v>
      </x:c>
      <x:c r="D50" t="str">
        <x:v>Personal Care Product 4</x:v>
      </x:c>
      <x:c r="E50" s="10" t="n">
        <x:v>1587</x:v>
      </x:c>
      <x:c r="F50" s="10" t="n">
        <x:v>30.64</x:v>
      </x:c>
      <x:c r="G50" s="10" t="n">
        <x:v>17.19</x:v>
      </x:c>
      <x:c r="H50" s="10" t="n">
        <x:v>1671</x:v>
      </x:c>
      <x:c r="I50" s="10" t="n">
        <x:v>30.4</x:v>
      </x:c>
      <x:c r="J50" s="10" t="n">
        <x:v>18.79</x:v>
      </x:c>
      <x:c r="K50" s="10" t="n">
        <x:v>48625.68</x:v>
      </x:c>
      <x:c r="L50" s="10" t="n">
        <x:v>50798.4</x:v>
      </x:c>
      <x:c r="M50" s="10" t="n">
        <x:v>27280.53</x:v>
      </x:c>
      <x:c r="N50" s="10" t="n">
        <x:v>31398.09</x:v>
      </x:c>
    </x:row>
    <x:row r="51">
      <x:c r="A51" t="str">
        <x:v>2025-03</x:v>
      </x:c>
      <x:c r="B51" t="str">
        <x:v>AT-010</x:v>
      </x:c>
      <x:c r="C51" t="str">
        <x:v>Personal Care</x:v>
      </x:c>
      <x:c r="D51" t="str">
        <x:v>Personal Care Product 5</x:v>
      </x:c>
      <x:c r="E51" s="10" t="n">
        <x:v>1701</x:v>
      </x:c>
      <x:c r="F51" s="10" t="n">
        <x:v>34.15</x:v>
      </x:c>
      <x:c r="G51" s="10" t="n">
        <x:v>19.57</x:v>
      </x:c>
      <x:c r="H51" s="10" t="n">
        <x:v>1512</x:v>
      </x:c>
      <x:c r="I51" s="10" t="n">
        <x:v>34.88</x:v>
      </x:c>
      <x:c r="J51" s="10" t="n">
        <x:v>21.29</x:v>
      </x:c>
      <x:c r="K51" s="10" t="n">
        <x:v>58089.15</x:v>
      </x:c>
      <x:c r="L51" s="10" t="n">
        <x:v>52738.56</x:v>
      </x:c>
      <x:c r="M51" s="10" t="n">
        <x:v>33288.57</x:v>
      </x:c>
      <x:c r="N51" s="10" t="n">
        <x:v>32190.48</x:v>
      </x:c>
    </x:row>
    <x:row r="52">
      <x:c r="A52" t="str">
        <x:v>2025-03</x:v>
      </x:c>
      <x:c r="B52" t="str">
        <x:v>AT-011</x:v>
      </x:c>
      <x:c r="C52" t="str">
        <x:v>Office Supplies</x:v>
      </x:c>
      <x:c r="D52" t="str">
        <x:v>Office Supplies Product 1</x:v>
      </x:c>
      <x:c r="E52" s="10" t="n">
        <x:v>1101</x:v>
      </x:c>
      <x:c r="F52" s="10" t="n">
        <x:v>28.13</x:v>
      </x:c>
      <x:c r="G52" s="10" t="n">
        <x:v>15.75</x:v>
      </x:c>
      <x:c r="H52" s="10" t="n">
        <x:v>1044</x:v>
      </x:c>
      <x:c r="I52" s="10" t="n">
        <x:v>27.22</x:v>
      </x:c>
      <x:c r="J52" s="10" t="n">
        <x:v>16.1</x:v>
      </x:c>
      <x:c r="K52" s="10" t="n">
        <x:v>30971.13</x:v>
      </x:c>
      <x:c r="L52" s="10" t="n">
        <x:v>28417.68</x:v>
      </x:c>
      <x:c r="M52" s="10" t="n">
        <x:v>17340.75</x:v>
      </x:c>
      <x:c r="N52" s="10" t="n">
        <x:v>16808.4</x:v>
      </x:c>
    </x:row>
    <x:row r="53">
      <x:c r="A53" t="str">
        <x:v>2025-03</x:v>
      </x:c>
      <x:c r="B53" t="str">
        <x:v>AT-012</x:v>
      </x:c>
      <x:c r="C53" t="str">
        <x:v>Office Supplies</x:v>
      </x:c>
      <x:c r="D53" t="str">
        <x:v>Office Supplies Product 2</x:v>
      </x:c>
      <x:c r="E53" s="10" t="n">
        <x:v>1243</x:v>
      </x:c>
      <x:c r="F53" s="10" t="n">
        <x:v>31.64</x:v>
      </x:c>
      <x:c r="G53" s="10" t="n">
        <x:v>18.1</x:v>
      </x:c>
      <x:c r="H53" s="10" t="n">
        <x:v>1130</x:v>
      </x:c>
      <x:c r="I53" s="10" t="n">
        <x:v>31.66</x:v>
      </x:c>
      <x:c r="J53" s="10" t="n">
        <x:v>18.69</x:v>
      </x:c>
      <x:c r="K53" s="10" t="n">
        <x:v>39328.52</x:v>
      </x:c>
      <x:c r="L53" s="10" t="n">
        <x:v>35775.8</x:v>
      </x:c>
      <x:c r="M53" s="10" t="n">
        <x:v>22498.3</x:v>
      </x:c>
      <x:c r="N53" s="10" t="n">
        <x:v>21119.7</x:v>
      </x:c>
    </x:row>
    <x:row r="54">
      <x:c r="A54" t="str">
        <x:v>2025-03</x:v>
      </x:c>
      <x:c r="B54" t="str">
        <x:v>AT-013</x:v>
      </x:c>
      <x:c r="C54" t="str">
        <x:v>Office Supplies</x:v>
      </x:c>
      <x:c r="D54" t="str">
        <x:v>Office Supplies Product 3</x:v>
      </x:c>
      <x:c r="E54" s="10" t="n">
        <x:v>1374</x:v>
      </x:c>
      <x:c r="F54" s="10" t="n">
        <x:v>35.16</x:v>
      </x:c>
      <x:c r="G54" s="10" t="n">
        <x:v>20.53</x:v>
      </x:c>
      <x:c r="H54" s="10" t="n">
        <x:v>1404</x:v>
      </x:c>
      <x:c r="I54" s="10" t="n">
        <x:v>34.54</x:v>
      </x:c>
      <x:c r="J54" s="10" t="n">
        <x:v>22.36</x:v>
      </x:c>
      <x:c r="K54" s="10" t="n">
        <x:v>48309.84</x:v>
      </x:c>
      <x:c r="L54" s="10" t="n">
        <x:v>48494.16</x:v>
      </x:c>
      <x:c r="M54" s="10" t="n">
        <x:v>28208.22</x:v>
      </x:c>
      <x:c r="N54" s="10" t="n">
        <x:v>31393.44</x:v>
      </x:c>
    </x:row>
    <x:row r="55">
      <x:c r="A55" t="str">
        <x:v>2025-03</x:v>
      </x:c>
      <x:c r="B55" t="str">
        <x:v>AT-014</x:v>
      </x:c>
      <x:c r="C55" t="str">
        <x:v>Office Supplies</x:v>
      </x:c>
      <x:c r="D55" t="str">
        <x:v>Office Supplies Product 4</x:v>
      </x:c>
      <x:c r="E55" s="10" t="n">
        <x:v>1481</x:v>
      </x:c>
      <x:c r="F55" s="10" t="n">
        <x:v>38.68</x:v>
      </x:c>
      <x:c r="G55" s="10" t="n">
        <x:v>23.05</x:v>
      </x:c>
      <x:c r="H55" s="10" t="n">
        <x:v>1465</x:v>
      </x:c>
      <x:c r="I55" s="10" t="n">
        <x:v>39.11</x:v>
      </x:c>
      <x:c r="J55" s="10" t="n">
        <x:v>24.34</x:v>
      </x:c>
      <x:c r="K55" s="10" t="n">
        <x:v>57285.08</x:v>
      </x:c>
      <x:c r="L55" s="10" t="n">
        <x:v>57296.15</x:v>
      </x:c>
      <x:c r="M55" s="10" t="n">
        <x:v>34137.05</x:v>
      </x:c>
      <x:c r="N55" s="10" t="n">
        <x:v>35658.1</x:v>
      </x:c>
    </x:row>
    <x:row r="56">
      <x:c r="A56" t="str">
        <x:v>2025-03</x:v>
      </x:c>
      <x:c r="B56" t="str">
        <x:v>AT-015</x:v>
      </x:c>
      <x:c r="C56" t="str">
        <x:v>Office Supplies</x:v>
      </x:c>
      <x:c r="D56" t="str">
        <x:v>Office Supplies Product 5</x:v>
      </x:c>
      <x:c r="E56" s="10" t="n">
        <x:v>1588</x:v>
      </x:c>
      <x:c r="F56" s="10" t="n">
        <x:v>42.19</x:v>
      </x:c>
      <x:c r="G56" s="10" t="n">
        <x:v>25.65</x:v>
      </x:c>
      <x:c r="H56" s="10" t="n">
        <x:v>1395</x:v>
      </x:c>
      <x:c r="I56" s="10" t="n">
        <x:v>40.42</x:v>
      </x:c>
      <x:c r="J56" s="10" t="n">
        <x:v>27.31</x:v>
      </x:c>
      <x:c r="K56" s="10" t="n">
        <x:v>66997.72</x:v>
      </x:c>
      <x:c r="L56" s="10" t="n">
        <x:v>56385.9</x:v>
      </x:c>
      <x:c r="M56" s="10" t="n">
        <x:v>40732.2</x:v>
      </x:c>
      <x:c r="N56" s="10" t="n">
        <x:v>38097.45</x:v>
      </x:c>
    </x:row>
    <x:row r="57">
      <x:c r="A57" t="str">
        <x:v>2025-03</x:v>
      </x:c>
      <x:c r="B57" t="str">
        <x:v>AT-016</x:v>
      </x:c>
      <x:c r="C57" t="str">
        <x:v>Lifestyle Accessories</x:v>
      </x:c>
      <x:c r="D57" t="str">
        <x:v>Lifestyle Accessories Product 1</x:v>
      </x:c>
      <x:c r="E57" s="10" t="n">
        <x:v>1016</x:v>
      </x:c>
      <x:c r="F57" s="10" t="n">
        <x:v>36.16</x:v>
      </x:c>
      <x:c r="G57" s="10" t="n">
        <x:v>21.52</x:v>
      </x:c>
      <x:c r="H57" s="10" t="n">
        <x:v>1123</x:v>
      </x:c>
      <x:c r="I57" s="10" t="n">
        <x:v>35.34</x:v>
      </x:c>
      <x:c r="J57" s="10" t="n">
        <x:v>23.41</x:v>
      </x:c>
      <x:c r="K57" s="10" t="n">
        <x:v>36738.56</x:v>
      </x:c>
      <x:c r="L57" s="10" t="n">
        <x:v>39686.82</x:v>
      </x:c>
      <x:c r="M57" s="10" t="n">
        <x:v>21864.32</x:v>
      </x:c>
      <x:c r="N57" s="10" t="n">
        <x:v>26289.43</x:v>
      </x:c>
    </x:row>
    <x:row r="58">
      <x:c r="A58" t="str">
        <x:v>2025-03</x:v>
      </x:c>
      <x:c r="B58" t="str">
        <x:v>AT-017</x:v>
      </x:c>
      <x:c r="C58" t="str">
        <x:v>Lifestyle Accessories</x:v>
      </x:c>
      <x:c r="D58" t="str">
        <x:v>Lifestyle Accessories Product 2</x:v>
      </x:c>
      <x:c r="E58" s="10" t="n">
        <x:v>1148</x:v>
      </x:c>
      <x:c r="F58" s="10" t="n">
        <x:v>39.68</x:v>
      </x:c>
      <x:c r="G58" s="10" t="n">
        <x:v>24.09</x:v>
      </x:c>
      <x:c r="H58" s="10" t="n">
        <x:v>1057</x:v>
      </x:c>
      <x:c r="I58" s="10" t="n">
        <x:v>38.83</x:v>
      </x:c>
      <x:c r="J58" s="10" t="n">
        <x:v>25.07</x:v>
      </x:c>
      <x:c r="K58" s="10" t="n">
        <x:v>45552.64</x:v>
      </x:c>
      <x:c r="L58" s="10" t="n">
        <x:v>41043.31</x:v>
      </x:c>
      <x:c r="M58" s="10" t="n">
        <x:v>27655.32</x:v>
      </x:c>
      <x:c r="N58" s="10" t="n">
        <x:v>26498.99</x:v>
      </x:c>
    </x:row>
    <x:row r="59">
      <x:c r="A59" t="str">
        <x:v>2025-03</x:v>
      </x:c>
      <x:c r="B59" t="str">
        <x:v>AT-018</x:v>
      </x:c>
      <x:c r="C59" t="str">
        <x:v>Lifestyle Accessories</x:v>
      </x:c>
      <x:c r="D59" t="str">
        <x:v>Lifestyle Accessories Product 3</x:v>
      </x:c>
      <x:c r="E59" s="10" t="n">
        <x:v>1291</x:v>
      </x:c>
      <x:c r="F59" s="10" t="n">
        <x:v>43.2</x:v>
      </x:c>
      <x:c r="G59" s="10" t="n">
        <x:v>26.74</x:v>
      </x:c>
      <x:c r="H59" s="10" t="n">
        <x:v>1468</x:v>
      </x:c>
      <x:c r="I59" s="10" t="n">
        <x:v>42.87</x:v>
      </x:c>
      <x:c r="J59" s="10" t="n">
        <x:v>28.4</x:v>
      </x:c>
      <x:c r="K59" s="10" t="n">
        <x:v>55771.2</x:v>
      </x:c>
      <x:c r="L59" s="10" t="n">
        <x:v>62933.16</x:v>
      </x:c>
      <x:c r="M59" s="10" t="n">
        <x:v>34521.34</x:v>
      </x:c>
      <x:c r="N59" s="10" t="n">
        <x:v>41691.2</x:v>
      </x:c>
    </x:row>
    <x:row r="60">
      <x:c r="A60" t="str">
        <x:v>2025-03</x:v>
      </x:c>
      <x:c r="B60" t="str">
        <x:v>AT-019</x:v>
      </x:c>
      <x:c r="C60" t="str">
        <x:v>Lifestyle Accessories</x:v>
      </x:c>
      <x:c r="D60" t="str">
        <x:v>Lifestyle Accessories Product 4</x:v>
      </x:c>
      <x:c r="E60" s="10" t="n">
        <x:v>1350</x:v>
      </x:c>
      <x:c r="F60" s="10" t="n">
        <x:v>46.71</x:v>
      </x:c>
      <x:c r="G60" s="10" t="n">
        <x:v>29.47</x:v>
      </x:c>
      <x:c r="H60" s="10" t="n">
        <x:v>1394</x:v>
      </x:c>
      <x:c r="I60" s="10" t="n">
        <x:v>46.38</x:v>
      </x:c>
      <x:c r="J60" s="10" t="n">
        <x:v>30.54</x:v>
      </x:c>
      <x:c r="K60" s="10" t="n">
        <x:v>63058.5</x:v>
      </x:c>
      <x:c r="L60" s="10" t="n">
        <x:v>64653.72</x:v>
      </x:c>
      <x:c r="M60" s="10" t="n">
        <x:v>39784.5</x:v>
      </x:c>
      <x:c r="N60" s="10" t="n">
        <x:v>42572.76</x:v>
      </x:c>
    </x:row>
    <x:row r="61">
      <x:c r="A61" t="str">
        <x:v>2025-03</x:v>
      </x:c>
      <x:c r="B61" t="str">
        <x:v>AT-020</x:v>
      </x:c>
      <x:c r="C61" t="str">
        <x:v>Lifestyle Accessories</x:v>
      </x:c>
      <x:c r="D61" t="str">
        <x:v>Lifestyle Accessories Product 5</x:v>
      </x:c>
      <x:c r="E61" s="10" t="n">
        <x:v>1516</x:v>
      </x:c>
      <x:c r="F61" s="10" t="n">
        <x:v>50.23</x:v>
      </x:c>
      <x:c r="G61" s="10" t="n">
        <x:v>32.3</x:v>
      </x:c>
      <x:c r="H61" s="10" t="n">
        <x:v>1330</x:v>
      </x:c>
      <x:c r="I61" s="10" t="n">
        <x:v>48.17</x:v>
      </x:c>
      <x:c r="J61" s="10" t="n">
        <x:v>34.53</x:v>
      </x:c>
      <x:c r="K61" s="10" t="n">
        <x:v>76148.68</x:v>
      </x:c>
      <x:c r="L61" s="10" t="n">
        <x:v>64066.1</x:v>
      </x:c>
      <x:c r="M61" s="10" t="n">
        <x:v>48966.8</x:v>
      </x:c>
      <x:c r="N61" s="10" t="n">
        <x:v>45924.9</x:v>
      </x:c>
    </x:row>
    <x:row r="62">
      <x:c r="A62" t="str">
        <x:v>2025-04</x:v>
      </x:c>
      <x:c r="B62" t="str">
        <x:v>AT-001</x:v>
      </x:c>
      <x:c r="C62" t="str">
        <x:v>Home Essentials</x:v>
      </x:c>
      <x:c r="D62" t="str">
        <x:v>Home Essentials Product 1</x:v>
      </x:c>
      <x:c r="E62" s="10" t="n">
        <x:v>1278</x:v>
      </x:c>
      <x:c r="F62" s="10" t="n">
        <x:v>12.08</x:v>
      </x:c>
      <x:c r="G62" s="10" t="n">
        <x:v>5.92</x:v>
      </x:c>
      <x:c r="H62" s="10" t="n">
        <x:v>1453</x:v>
      </x:c>
      <x:c r="I62" s="10" t="n">
        <x:v>11.96</x:v>
      </x:c>
      <x:c r="J62" s="10" t="n">
        <x:v>6.4</x:v>
      </x:c>
      <x:c r="K62" s="10" t="n">
        <x:v>15438.24</x:v>
      </x:c>
      <x:c r="L62" s="10" t="n">
        <x:v>17377.88</x:v>
      </x:c>
      <x:c r="M62" s="10" t="n">
        <x:v>7565.76</x:v>
      </x:c>
      <x:c r="N62" s="10" t="n">
        <x:v>9299.2</x:v>
      </x:c>
    </x:row>
    <x:row r="63">
      <x:c r="A63" t="str">
        <x:v>2025-04</x:v>
      </x:c>
      <x:c r="B63" t="str">
        <x:v>AT-002</x:v>
      </x:c>
      <x:c r="C63" t="str">
        <x:v>Home Essentials</x:v>
      </x:c>
      <x:c r="D63" t="str">
        <x:v>Home Essentials Product 2</x:v>
      </x:c>
      <x:c r="E63" s="10" t="n">
        <x:v>1433</x:v>
      </x:c>
      <x:c r="F63" s="10" t="n">
        <x:v>15.61</x:v>
      </x:c>
      <x:c r="G63" s="10" t="n">
        <x:v>7.84</x:v>
      </x:c>
      <x:c r="H63" s="10" t="n">
        <x:v>1407</x:v>
      </x:c>
      <x:c r="I63" s="10" t="n">
        <x:v>15.24</x:v>
      </x:c>
      <x:c r="J63" s="10" t="n">
        <x:v>8.2</x:v>
      </x:c>
      <x:c r="K63" s="10" t="n">
        <x:v>22369.13</x:v>
      </x:c>
      <x:c r="L63" s="10" t="n">
        <x:v>21442.68</x:v>
      </x:c>
      <x:c r="M63" s="10" t="n">
        <x:v>11234.72</x:v>
      </x:c>
      <x:c r="N63" s="10" t="n">
        <x:v>11537.4</x:v>
      </x:c>
    </x:row>
    <x:row r="64">
      <x:c r="A64" t="str">
        <x:v>2025-04</x:v>
      </x:c>
      <x:c r="B64" t="str">
        <x:v>AT-003</x:v>
      </x:c>
      <x:c r="C64" t="str">
        <x:v>Home Essentials</x:v>
      </x:c>
      <x:c r="D64" t="str">
        <x:v>Home Essentials Product 3</x:v>
      </x:c>
      <x:c r="E64" s="10" t="n">
        <x:v>1580</x:v>
      </x:c>
      <x:c r="F64" s="10" t="n">
        <x:v>19.13</x:v>
      </x:c>
      <x:c r="G64" s="10" t="n">
        <x:v>9.83</x:v>
      </x:c>
      <x:c r="H64" s="10" t="n">
        <x:v>1717</x:v>
      </x:c>
      <x:c r="I64" s="10" t="n">
        <x:v>18.88</x:v>
      </x:c>
      <x:c r="J64" s="10" t="n">
        <x:v>10.16</x:v>
      </x:c>
      <x:c r="K64" s="10" t="n">
        <x:v>30225.4</x:v>
      </x:c>
      <x:c r="L64" s="10" t="n">
        <x:v>32416.96</x:v>
      </x:c>
      <x:c r="M64" s="10" t="n">
        <x:v>15531.4</x:v>
      </x:c>
      <x:c r="N64" s="10" t="n">
        <x:v>17444.72</x:v>
      </x:c>
    </x:row>
    <x:row r="65">
      <x:c r="A65" t="str">
        <x:v>2025-04</x:v>
      </x:c>
      <x:c r="B65" t="str">
        <x:v>AT-004</x:v>
      </x:c>
      <x:c r="C65" t="str">
        <x:v>Home Essentials</x:v>
      </x:c>
      <x:c r="D65" t="str">
        <x:v>Home Essentials Product 4</x:v>
      </x:c>
      <x:c r="E65" s="10" t="n">
        <x:v>1682</x:v>
      </x:c>
      <x:c r="F65" s="10" t="n">
        <x:v>22.65</x:v>
      </x:c>
      <x:c r="G65" s="10" t="n">
        <x:v>11.91</x:v>
      </x:c>
      <x:c r="H65" s="10" t="n">
        <x:v>1757</x:v>
      </x:c>
      <x:c r="I65" s="10" t="n">
        <x:v>22.34</x:v>
      </x:c>
      <x:c r="J65" s="10" t="n">
        <x:v>12.46</x:v>
      </x:c>
      <x:c r="K65" s="10" t="n">
        <x:v>38097.3</x:v>
      </x:c>
      <x:c r="L65" s="10" t="n">
        <x:v>39251.38</x:v>
      </x:c>
      <x:c r="M65" s="10" t="n">
        <x:v>20032.62</x:v>
      </x:c>
      <x:c r="N65" s="10" t="n">
        <x:v>21892.22</x:v>
      </x:c>
    </x:row>
    <x:row r="66">
      <x:c r="A66" t="str">
        <x:v>2025-04</x:v>
      </x:c>
      <x:c r="B66" t="str">
        <x:v>AT-005</x:v>
      </x:c>
      <x:c r="C66" t="str">
        <x:v>Home Essentials</x:v>
      </x:c>
      <x:c r="D66" t="str">
        <x:v>Home Essentials Product 5</x:v>
      </x:c>
      <x:c r="E66" s="10" t="n">
        <x:v>1813</x:v>
      </x:c>
      <x:c r="F66" s="10" t="n">
        <x:v>26.18</x:v>
      </x:c>
      <x:c r="G66" s="10" t="n">
        <x:v>14.08</x:v>
      </x:c>
      <x:c r="H66" s="10" t="n">
        <x:v>1964</x:v>
      </x:c>
      <x:c r="I66" s="10" t="n">
        <x:v>25.95</x:v>
      </x:c>
      <x:c r="J66" s="10" t="n">
        <x:v>14.67</x:v>
      </x:c>
      <x:c r="K66" s="10" t="n">
        <x:v>47464.34</x:v>
      </x:c>
      <x:c r="L66" s="10" t="n">
        <x:v>50965.8</x:v>
      </x:c>
      <x:c r="M66" s="10" t="n">
        <x:v>25527.04</x:v>
      </x:c>
      <x:c r="N66" s="10" t="n">
        <x:v>28811.88</x:v>
      </x:c>
    </x:row>
    <x:row r="67">
      <x:c r="A67" t="str">
        <x:v>2025-04</x:v>
      </x:c>
      <x:c r="B67" t="str">
        <x:v>AT-006</x:v>
      </x:c>
      <x:c r="C67" t="str">
        <x:v>Personal Care</x:v>
      </x:c>
      <x:c r="D67" t="str">
        <x:v>Personal Care Product 1</x:v>
      </x:c>
      <x:c r="E67" s="10" t="n">
        <x:v>1224</x:v>
      </x:c>
      <x:c r="F67" s="10" t="n">
        <x:v>20.14</x:v>
      </x:c>
      <x:c r="G67" s="10" t="n">
        <x:v>10.57</x:v>
      </x:c>
      <x:c r="H67" s="10" t="n">
        <x:v>1117</x:v>
      </x:c>
      <x:c r="I67" s="10" t="n">
        <x:v>20.37</x:v>
      </x:c>
      <x:c r="J67" s="10" t="n">
        <x:v>11.54</x:v>
      </x:c>
      <x:c r="K67" s="10" t="n">
        <x:v>24651.36</x:v>
      </x:c>
      <x:c r="L67" s="10" t="n">
        <x:v>22753.29</x:v>
      </x:c>
      <x:c r="M67" s="10" t="n">
        <x:v>12937.68</x:v>
      </x:c>
      <x:c r="N67" s="10" t="n">
        <x:v>12890.18</x:v>
      </x:c>
    </x:row>
    <x:row r="68">
      <x:c r="A68" t="str">
        <x:v>2025-04</x:v>
      </x:c>
      <x:c r="B68" t="str">
        <x:v>AT-007</x:v>
      </x:c>
      <x:c r="C68" t="str">
        <x:v>Personal Care</x:v>
      </x:c>
      <x:c r="D68" t="str">
        <x:v>Personal Care Product 2</x:v>
      </x:c>
      <x:c r="E68" s="10" t="n">
        <x:v>1364</x:v>
      </x:c>
      <x:c r="F68" s="10" t="n">
        <x:v>23.66</x:v>
      </x:c>
      <x:c r="G68" s="10" t="n">
        <x:v>12.71</x:v>
      </x:c>
      <x:c r="H68" s="10" t="n">
        <x:v>1422</x:v>
      </x:c>
      <x:c r="I68" s="10" t="n">
        <x:v>24.25</x:v>
      </x:c>
      <x:c r="J68" s="10" t="n">
        <x:v>12.96</x:v>
      </x:c>
      <x:c r="K68" s="10" t="n">
        <x:v>32272.24</x:v>
      </x:c>
      <x:c r="L68" s="10" t="n">
        <x:v>34483.5</x:v>
      </x:c>
      <x:c r="M68" s="10" t="n">
        <x:v>17336.44</x:v>
      </x:c>
      <x:c r="N68" s="10" t="n">
        <x:v>18429.12</x:v>
      </x:c>
    </x:row>
    <x:row r="69">
      <x:c r="A69" t="str">
        <x:v>2025-04</x:v>
      </x:c>
      <x:c r="B69" t="str">
        <x:v>AT-008</x:v>
      </x:c>
      <x:c r="C69" t="str">
        <x:v>Personal Care</x:v>
      </x:c>
      <x:c r="D69" t="str">
        <x:v>Personal Care Product 3</x:v>
      </x:c>
      <x:c r="E69" s="10" t="n">
        <x:v>1483</x:v>
      </x:c>
      <x:c r="F69" s="10" t="n">
        <x:v>27.18</x:v>
      </x:c>
      <x:c r="G69" s="10" t="n">
        <x:v>14.92</x:v>
      </x:c>
      <x:c r="H69" s="10" t="n">
        <x:v>1499</x:v>
      </x:c>
      <x:c r="I69" s="10" t="n">
        <x:v>27.54</x:v>
      </x:c>
      <x:c r="J69" s="10" t="n">
        <x:v>15.21</x:v>
      </x:c>
      <x:c r="K69" s="10" t="n">
        <x:v>40307.94</x:v>
      </x:c>
      <x:c r="L69" s="10" t="n">
        <x:v>41282.46</x:v>
      </x:c>
      <x:c r="M69" s="10" t="n">
        <x:v>22126.36</x:v>
      </x:c>
      <x:c r="N69" s="10" t="n">
        <x:v>22799.79</x:v>
      </x:c>
    </x:row>
    <x:row r="70">
      <x:c r="A70" t="str">
        <x:v>2025-04</x:v>
      </x:c>
      <x:c r="B70" t="str">
        <x:v>AT-009</x:v>
      </x:c>
      <x:c r="C70" t="str">
        <x:v>Personal Care</x:v>
      </x:c>
      <x:c r="D70" t="str">
        <x:v>Personal Care Product 4</x:v>
      </x:c>
      <x:c r="E70" s="10" t="n">
        <x:v>1546</x:v>
      </x:c>
      <x:c r="F70" s="10" t="n">
        <x:v>30.71</x:v>
      </x:c>
      <x:c r="G70" s="10" t="n">
        <x:v>17.23</x:v>
      </x:c>
      <x:c r="H70" s="10" t="n">
        <x:v>1429</x:v>
      </x:c>
      <x:c r="I70" s="10" t="n">
        <x:v>30.84</x:v>
      </x:c>
      <x:c r="J70" s="10" t="n">
        <x:v>18.05</x:v>
      </x:c>
      <x:c r="K70" s="10" t="n">
        <x:v>47477.66</x:v>
      </x:c>
      <x:c r="L70" s="10" t="n">
        <x:v>44070.36</x:v>
      </x:c>
      <x:c r="M70" s="10" t="n">
        <x:v>26637.58</x:v>
      </x:c>
      <x:c r="N70" s="10" t="n">
        <x:v>25793.45</x:v>
      </x:c>
    </x:row>
    <x:row r="71">
      <x:c r="A71" t="str">
        <x:v>2025-04</x:v>
      </x:c>
      <x:c r="B71" t="str">
        <x:v>AT-010</x:v>
      </x:c>
      <x:c r="C71" t="str">
        <x:v>Personal Care</x:v>
      </x:c>
      <x:c r="D71" t="str">
        <x:v>Personal Care Product 5</x:v>
      </x:c>
      <x:c r="E71" s="10" t="n">
        <x:v>1656</x:v>
      </x:c>
      <x:c r="F71" s="10" t="n">
        <x:v>34.23</x:v>
      </x:c>
      <x:c r="G71" s="10" t="n">
        <x:v>19.61</x:v>
      </x:c>
      <x:c r="H71" s="10" t="n">
        <x:v>1535</x:v>
      </x:c>
      <x:c r="I71" s="10" t="n">
        <x:v>33.26</x:v>
      </x:c>
      <x:c r="J71" s="10" t="n">
        <x:v>21.28</x:v>
      </x:c>
      <x:c r="K71" s="10" t="n">
        <x:v>56684.88</x:v>
      </x:c>
      <x:c r="L71" s="10" t="n">
        <x:v>51054.1</x:v>
      </x:c>
      <x:c r="M71" s="10" t="n">
        <x:v>32474.16</x:v>
      </x:c>
      <x:c r="N71" s="10" t="n">
        <x:v>32664.8</x:v>
      </x:c>
    </x:row>
    <x:row r="72">
      <x:c r="A72" t="str">
        <x:v>2025-04</x:v>
      </x:c>
      <x:c r="B72" t="str">
        <x:v>AT-011</x:v>
      </x:c>
      <x:c r="C72" t="str">
        <x:v>Office Supplies</x:v>
      </x:c>
      <x:c r="D72" t="str">
        <x:v>Office Supplies Product 1</x:v>
      </x:c>
      <x:c r="E72" s="10" t="n">
        <x:v>1163</x:v>
      </x:c>
      <x:c r="F72" s="10" t="n">
        <x:v>28.19</x:v>
      </x:c>
      <x:c r="G72" s="10" t="n">
        <x:v>15.79</x:v>
      </x:c>
      <x:c r="H72" s="10" t="n">
        <x:v>1194</x:v>
      </x:c>
      <x:c r="I72" s="10" t="n">
        <x:v>28.78</x:v>
      </x:c>
      <x:c r="J72" s="10" t="n">
        <x:v>17.34</x:v>
      </x:c>
      <x:c r="K72" s="10" t="n">
        <x:v>32784.97</x:v>
      </x:c>
      <x:c r="L72" s="10" t="n">
        <x:v>34363.32</x:v>
      </x:c>
      <x:c r="M72" s="10" t="n">
        <x:v>18363.77</x:v>
      </x:c>
      <x:c r="N72" s="10" t="n">
        <x:v>20703.96</x:v>
      </x:c>
    </x:row>
    <x:row r="73">
      <x:c r="A73" t="str">
        <x:v>2025-04</x:v>
      </x:c>
      <x:c r="B73" t="str">
        <x:v>AT-012</x:v>
      </x:c>
      <x:c r="C73" t="str">
        <x:v>Office Supplies</x:v>
      </x:c>
      <x:c r="D73" t="str">
        <x:v>Office Supplies Product 2</x:v>
      </x:c>
      <x:c r="E73" s="10" t="n">
        <x:v>1235</x:v>
      </x:c>
      <x:c r="F73" s="10" t="n">
        <x:v>31.71</x:v>
      </x:c>
      <x:c r="G73" s="10" t="n">
        <x:v>18.14</x:v>
      </x:c>
      <x:c r="H73" s="10" t="n">
        <x:v>1290</x:v>
      </x:c>
      <x:c r="I73" s="10" t="n">
        <x:v>31.05</x:v>
      </x:c>
      <x:c r="J73" s="10" t="n">
        <x:v>19.78</x:v>
      </x:c>
      <x:c r="K73" s="10" t="n">
        <x:v>39161.85</x:v>
      </x:c>
      <x:c r="L73" s="10" t="n">
        <x:v>40054.5</x:v>
      </x:c>
      <x:c r="M73" s="10" t="n">
        <x:v>22402.9</x:v>
      </x:c>
      <x:c r="N73" s="10" t="n">
        <x:v>25516.2</x:v>
      </x:c>
    </x:row>
    <x:row r="74">
      <x:c r="A74" t="str">
        <x:v>2025-04</x:v>
      </x:c>
      <x:c r="B74" t="str">
        <x:v>AT-013</x:v>
      </x:c>
      <x:c r="C74" t="str">
        <x:v>Office Supplies</x:v>
      </x:c>
      <x:c r="D74" t="str">
        <x:v>Office Supplies Product 3</x:v>
      </x:c>
      <x:c r="E74" s="10" t="n">
        <x:v>1380</x:v>
      </x:c>
      <x:c r="F74" s="10" t="n">
        <x:v>35.24</x:v>
      </x:c>
      <x:c r="G74" s="10" t="n">
        <x:v>20.58</x:v>
      </x:c>
      <x:c r="H74" s="10" t="n">
        <x:v>1259</x:v>
      </x:c>
      <x:c r="I74" s="10" t="n">
        <x:v>34.62</x:v>
      </x:c>
      <x:c r="J74" s="10" t="n">
        <x:v>21.38</x:v>
      </x:c>
      <x:c r="K74" s="10" t="n">
        <x:v>48631.2</x:v>
      </x:c>
      <x:c r="L74" s="10" t="n">
        <x:v>43586.58</x:v>
      </x:c>
      <x:c r="M74" s="10" t="n">
        <x:v>28400.4</x:v>
      </x:c>
      <x:c r="N74" s="10" t="n">
        <x:v>26917.42</x:v>
      </x:c>
    </x:row>
    <x:row r="75">
      <x:c r="A75" t="str">
        <x:v>2025-04</x:v>
      </x:c>
      <x:c r="B75" t="str">
        <x:v>AT-014</x:v>
      </x:c>
      <x:c r="C75" t="str">
        <x:v>Office Supplies</x:v>
      </x:c>
      <x:c r="D75" t="str">
        <x:v>Office Supplies Product 4</x:v>
      </x:c>
      <x:c r="E75" s="10" t="n">
        <x:v>1515</x:v>
      </x:c>
      <x:c r="F75" s="10" t="n">
        <x:v>38.76</x:v>
      </x:c>
      <x:c r="G75" s="10" t="n">
        <x:v>23.1</x:v>
      </x:c>
      <x:c r="H75" s="10" t="n">
        <x:v>1545</x:v>
      </x:c>
      <x:c r="I75" s="10" t="n">
        <x:v>37.59</x:v>
      </x:c>
      <x:c r="J75" s="10" t="n">
        <x:v>24.39</x:v>
      </x:c>
      <x:c r="K75" s="10" t="n">
        <x:v>58721.4</x:v>
      </x:c>
      <x:c r="L75" s="10" t="n">
        <x:v>58076.55</x:v>
      </x:c>
      <x:c r="M75" s="10" t="n">
        <x:v>34996.5</x:v>
      </x:c>
      <x:c r="N75" s="10" t="n">
        <x:v>37682.55</x:v>
      </x:c>
    </x:row>
    <x:row r="76">
      <x:c r="A76" t="str">
        <x:v>2025-04</x:v>
      </x:c>
      <x:c r="B76" t="str">
        <x:v>AT-015</x:v>
      </x:c>
      <x:c r="C76" t="str">
        <x:v>Office Supplies</x:v>
      </x:c>
      <x:c r="D76" t="str">
        <x:v>Office Supplies Product 5</x:v>
      </x:c>
      <x:c r="E76" s="10" t="n">
        <x:v>1597</x:v>
      </x:c>
      <x:c r="F76" s="10" t="n">
        <x:v>42.29</x:v>
      </x:c>
      <x:c r="G76" s="10" t="n">
        <x:v>25.71</x:v>
      </x:c>
      <x:c r="H76" s="10" t="n">
        <x:v>1470</x:v>
      </x:c>
      <x:c r="I76" s="10" t="n">
        <x:v>41.09</x:v>
      </x:c>
      <x:c r="J76" s="10" t="n">
        <x:v>27.74</x:v>
      </x:c>
      <x:c r="K76" s="10" t="n">
        <x:v>67537.13</x:v>
      </x:c>
      <x:c r="L76" s="10" t="n">
        <x:v>60402.3</x:v>
      </x:c>
      <x:c r="M76" s="10" t="n">
        <x:v>41058.87</x:v>
      </x:c>
      <x:c r="N76" s="10" t="n">
        <x:v>40777.8</x:v>
      </x:c>
    </x:row>
    <x:row r="77">
      <x:c r="A77" t="str">
        <x:v>2025-04</x:v>
      </x:c>
      <x:c r="B77" t="str">
        <x:v>AT-016</x:v>
      </x:c>
      <x:c r="C77" t="str">
        <x:v>Lifestyle Accessories</x:v>
      </x:c>
      <x:c r="D77" t="str">
        <x:v>Lifestyle Accessories Product 1</x:v>
      </x:c>
      <x:c r="E77" s="10" t="n">
        <x:v>1036</x:v>
      </x:c>
      <x:c r="F77" s="10" t="n">
        <x:v>36.25</x:v>
      </x:c>
      <x:c r="G77" s="10" t="n">
        <x:v>21.57</x:v>
      </x:c>
      <x:c r="H77" s="10" t="n">
        <x:v>976</x:v>
      </x:c>
      <x:c r="I77" s="10" t="n">
        <x:v>34.49</x:v>
      </x:c>
      <x:c r="J77" s="10" t="n">
        <x:v>22.77</x:v>
      </x:c>
      <x:c r="K77" s="10" t="n">
        <x:v>37555</x:v>
      </x:c>
      <x:c r="L77" s="10" t="n">
        <x:v>33662.24</x:v>
      </x:c>
      <x:c r="M77" s="10" t="n">
        <x:v>22346.52</x:v>
      </x:c>
      <x:c r="N77" s="10" t="n">
        <x:v>22223.52</x:v>
      </x:c>
    </x:row>
    <x:row r="78">
      <x:c r="A78" t="str">
        <x:v>2025-04</x:v>
      </x:c>
      <x:c r="B78" t="str">
        <x:v>AT-017</x:v>
      </x:c>
      <x:c r="C78" t="str">
        <x:v>Lifestyle Accessories</x:v>
      </x:c>
      <x:c r="D78" t="str">
        <x:v>Lifestyle Accessories Product 2</x:v>
      </x:c>
      <x:c r="E78" s="10" t="n">
        <x:v>1136</x:v>
      </x:c>
      <x:c r="F78" s="10" t="n">
        <x:v>39.77</x:v>
      </x:c>
      <x:c r="G78" s="10" t="n">
        <x:v>24.14</x:v>
      </x:c>
      <x:c r="H78" s="10" t="n">
        <x:v>1176</x:v>
      </x:c>
      <x:c r="I78" s="10" t="n">
        <x:v>40.9</x:v>
      </x:c>
      <x:c r="J78" s="10" t="n">
        <x:v>26.18</x:v>
      </x:c>
      <x:c r="K78" s="10" t="n">
        <x:v>45178.72</x:v>
      </x:c>
      <x:c r="L78" s="10" t="n">
        <x:v>48098.4</x:v>
      </x:c>
      <x:c r="M78" s="10" t="n">
        <x:v>27423.04</x:v>
      </x:c>
      <x:c r="N78" s="10" t="n">
        <x:v>30787.68</x:v>
      </x:c>
    </x:row>
    <x:row r="79">
      <x:c r="A79" t="str">
        <x:v>2025-04</x:v>
      </x:c>
      <x:c r="B79" t="str">
        <x:v>AT-018</x:v>
      </x:c>
      <x:c r="C79" t="str">
        <x:v>Lifestyle Accessories</x:v>
      </x:c>
      <x:c r="D79" t="str">
        <x:v>Lifestyle Accessories Product 3</x:v>
      </x:c>
      <x:c r="E79" s="10" t="n">
        <x:v>1258</x:v>
      </x:c>
      <x:c r="F79" s="10" t="n">
        <x:v>43.29</x:v>
      </x:c>
      <x:c r="G79" s="10" t="n">
        <x:v>26.8</x:v>
      </x:c>
      <x:c r="H79" s="10" t="n">
        <x:v>1118</x:v>
      </x:c>
      <x:c r="I79" s="10" t="n">
        <x:v>42.7</x:v>
      </x:c>
      <x:c r="J79" s="10" t="n">
        <x:v>28.98</x:v>
      </x:c>
      <x:c r="K79" s="10" t="n">
        <x:v>54458.82</x:v>
      </x:c>
      <x:c r="L79" s="10" t="n">
        <x:v>47738.6</x:v>
      </x:c>
      <x:c r="M79" s="10" t="n">
        <x:v>33714.4</x:v>
      </x:c>
      <x:c r="N79" s="10" t="n">
        <x:v>32399.64</x:v>
      </x:c>
    </x:row>
    <x:row r="80">
      <x:c r="A80" t="str">
        <x:v>2025-04</x:v>
      </x:c>
      <x:c r="B80" t="str">
        <x:v>AT-019</x:v>
      </x:c>
      <x:c r="C80" t="str">
        <x:v>Lifestyle Accessories</x:v>
      </x:c>
      <x:c r="D80" t="str">
        <x:v>Lifestyle Accessories Product 4</x:v>
      </x:c>
      <x:c r="E80" s="10" t="n">
        <x:v>1409</x:v>
      </x:c>
      <x:c r="F80" s="10" t="n">
        <x:v>46.82</x:v>
      </x:c>
      <x:c r="G80" s="10" t="n">
        <x:v>29.54</x:v>
      </x:c>
      <x:c r="H80" s="10" t="n">
        <x:v>1411</x:v>
      </x:c>
      <x:c r="I80" s="10" t="n">
        <x:v>47.32</x:v>
      </x:c>
      <x:c r="J80" s="10" t="n">
        <x:v>30.49</x:v>
      </x:c>
      <x:c r="K80" s="10" t="n">
        <x:v>65969.38</x:v>
      </x:c>
      <x:c r="L80" s="10" t="n">
        <x:v>66768.52</x:v>
      </x:c>
      <x:c r="M80" s="10" t="n">
        <x:v>41621.86</x:v>
      </x:c>
      <x:c r="N80" s="10" t="n">
        <x:v>43021.39</x:v>
      </x:c>
    </x:row>
    <x:row r="81">
      <x:c r="A81" t="str">
        <x:v>2025-04</x:v>
      </x:c>
      <x:c r="B81" t="str">
        <x:v>AT-020</x:v>
      </x:c>
      <x:c r="C81" t="str">
        <x:v>Lifestyle Accessories</x:v>
      </x:c>
      <x:c r="D81" t="str">
        <x:v>Lifestyle Accessories Product 5</x:v>
      </x:c>
      <x:c r="E81" s="10" t="n">
        <x:v>1546</x:v>
      </x:c>
      <x:c r="F81" s="10" t="n">
        <x:v>50.34</x:v>
      </x:c>
      <x:c r="G81" s="10" t="n">
        <x:v>32.37</x:v>
      </x:c>
      <x:c r="H81" s="10" t="n">
        <x:v>1770</x:v>
      </x:c>
      <x:c r="I81" s="10" t="n">
        <x:v>51.57</x:v>
      </x:c>
      <x:c r="J81" s="10" t="n">
        <x:v>33.45</x:v>
      </x:c>
      <x:c r="K81" s="10" t="n">
        <x:v>77825.64</x:v>
      </x:c>
      <x:c r="L81" s="10" t="n">
        <x:v>91278.9</x:v>
      </x:c>
      <x:c r="M81" s="10" t="n">
        <x:v>50044.02</x:v>
      </x:c>
      <x:c r="N81" s="10" t="n">
        <x:v>59206.5</x:v>
      </x:c>
    </x:row>
    <x:row r="82">
      <x:c r="A82" t="str">
        <x:v>2025-05</x:v>
      </x:c>
      <x:c r="B82" t="str">
        <x:v>AT-001</x:v>
      </x:c>
      <x:c r="C82" t="str">
        <x:v>Home Essentials</x:v>
      </x:c>
      <x:c r="D82" t="str">
        <x:v>Home Essentials Product 1</x:v>
      </x:c>
      <x:c r="E82" s="10" t="n">
        <x:v>1383</x:v>
      </x:c>
      <x:c r="F82" s="10" t="n">
        <x:v>12.11</x:v>
      </x:c>
      <x:c r="G82" s="10" t="n">
        <x:v>5.93</x:v>
      </x:c>
      <x:c r="H82" s="10" t="n">
        <x:v>1219</x:v>
      </x:c>
      <x:c r="I82" s="10" t="n">
        <x:v>11.76</x:v>
      </x:c>
      <x:c r="J82" s="10" t="n">
        <x:v>6.14</x:v>
      </x:c>
      <x:c r="K82" s="10" t="n">
        <x:v>16748.13</x:v>
      </x:c>
      <x:c r="L82" s="10" t="n">
        <x:v>14335.44</x:v>
      </x:c>
      <x:c r="M82" s="10" t="n">
        <x:v>8201.19</x:v>
      </x:c>
      <x:c r="N82" s="10" t="n">
        <x:v>7484.66</x:v>
      </x:c>
    </x:row>
    <x:row r="83">
      <x:c r="A83" t="str">
        <x:v>2025-05</x:v>
      </x:c>
      <x:c r="B83" t="str">
        <x:v>AT-002</x:v>
      </x:c>
      <x:c r="C83" t="str">
        <x:v>Home Essentials</x:v>
      </x:c>
      <x:c r="D83" t="str">
        <x:v>Home Essentials Product 2</x:v>
      </x:c>
      <x:c r="E83" s="10" t="n">
        <x:v>1513</x:v>
      </x:c>
      <x:c r="F83" s="10" t="n">
        <x:v>15.64</x:v>
      </x:c>
      <x:c r="G83" s="10" t="n">
        <x:v>7.85</x:v>
      </x:c>
      <x:c r="H83" s="10" t="n">
        <x:v>1501</x:v>
      </x:c>
      <x:c r="I83" s="10" t="n">
        <x:v>14.97</x:v>
      </x:c>
      <x:c r="J83" s="10" t="n">
        <x:v>8.59</x:v>
      </x:c>
      <x:c r="K83" s="10" t="n">
        <x:v>23663.32</x:v>
      </x:c>
      <x:c r="L83" s="10" t="n">
        <x:v>22469.97</x:v>
      </x:c>
      <x:c r="M83" s="10" t="n">
        <x:v>11877.05</x:v>
      </x:c>
      <x:c r="N83" s="10" t="n">
        <x:v>12893.59</x:v>
      </x:c>
    </x:row>
    <x:row r="84">
      <x:c r="A84" t="str">
        <x:v>2025-05</x:v>
      </x:c>
      <x:c r="B84" t="str">
        <x:v>AT-003</x:v>
      </x:c>
      <x:c r="C84" t="str">
        <x:v>Home Essentials</x:v>
      </x:c>
      <x:c r="D84" t="str">
        <x:v>Home Essentials Product 3</x:v>
      </x:c>
      <x:c r="E84" s="10" t="n">
        <x:v>1630</x:v>
      </x:c>
      <x:c r="F84" s="10" t="n">
        <x:v>19.17</x:v>
      </x:c>
      <x:c r="G84" s="10" t="n">
        <x:v>9.85</x:v>
      </x:c>
      <x:c r="H84" s="10" t="n">
        <x:v>1773</x:v>
      </x:c>
      <x:c r="I84" s="10" t="n">
        <x:v>18.72</x:v>
      </x:c>
      <x:c r="J84" s="10" t="n">
        <x:v>10.51</x:v>
      </x:c>
      <x:c r="K84" s="10" t="n">
        <x:v>31247.1</x:v>
      </x:c>
      <x:c r="L84" s="10" t="n">
        <x:v>33190.56</x:v>
      </x:c>
      <x:c r="M84" s="10" t="n">
        <x:v>16055.5</x:v>
      </x:c>
      <x:c r="N84" s="10" t="n">
        <x:v>18634.23</x:v>
      </x:c>
    </x:row>
    <x:row r="85">
      <x:c r="A85" t="str">
        <x:v>2025-05</x:v>
      </x:c>
      <x:c r="B85" t="str">
        <x:v>AT-004</x:v>
      </x:c>
      <x:c r="C85" t="str">
        <x:v>Home Essentials</x:v>
      </x:c>
      <x:c r="D85" t="str">
        <x:v>Home Essentials Product 4</x:v>
      </x:c>
      <x:c r="E85" s="10" t="n">
        <x:v>1750</x:v>
      </x:c>
      <x:c r="F85" s="10" t="n">
        <x:v>22.7</x:v>
      </x:c>
      <x:c r="G85" s="10" t="n">
        <x:v>11.94</x:v>
      </x:c>
      <x:c r="H85" s="10" t="n">
        <x:v>1526</x:v>
      </x:c>
      <x:c r="I85" s="10" t="n">
        <x:v>21.46</x:v>
      </x:c>
      <x:c r="J85" s="10" t="n">
        <x:v>13.01</x:v>
      </x:c>
      <x:c r="K85" s="10" t="n">
        <x:v>39725</x:v>
      </x:c>
      <x:c r="L85" s="10" t="n">
        <x:v>32747.96</x:v>
      </x:c>
      <x:c r="M85" s="10" t="n">
        <x:v>20895</x:v>
      </x:c>
      <x:c r="N85" s="10" t="n">
        <x:v>19853.26</x:v>
      </x:c>
    </x:row>
    <x:row r="86">
      <x:c r="A86" t="str">
        <x:v>2025-05</x:v>
      </x:c>
      <x:c r="B86" t="str">
        <x:v>AT-005</x:v>
      </x:c>
      <x:c r="C86" t="str">
        <x:v>Home Essentials</x:v>
      </x:c>
      <x:c r="D86" t="str">
        <x:v>Home Essentials Product 5</x:v>
      </x:c>
      <x:c r="E86" s="10" t="n">
        <x:v>1885</x:v>
      </x:c>
      <x:c r="F86" s="10" t="n">
        <x:v>26.24</x:v>
      </x:c>
      <x:c r="G86" s="10" t="n">
        <x:v>14.12</x:v>
      </x:c>
      <x:c r="H86" s="10" t="n">
        <x:v>2069</x:v>
      </x:c>
      <x:c r="I86" s="10" t="n">
        <x:v>25.55</x:v>
      </x:c>
      <x:c r="J86" s="10" t="n">
        <x:v>14.98</x:v>
      </x:c>
      <x:c r="K86" s="10" t="n">
        <x:v>49462.4</x:v>
      </x:c>
      <x:c r="L86" s="10" t="n">
        <x:v>52862.95</x:v>
      </x:c>
      <x:c r="M86" s="10" t="n">
        <x:v>26616.2</x:v>
      </x:c>
      <x:c r="N86" s="10" t="n">
        <x:v>30993.62</x:v>
      </x:c>
    </x:row>
    <x:row r="87">
      <x:c r="A87" t="str">
        <x:v>2025-05</x:v>
      </x:c>
      <x:c r="B87" t="str">
        <x:v>AT-006</x:v>
      </x:c>
      <x:c r="C87" t="str">
        <x:v>Personal Care</x:v>
      </x:c>
      <x:c r="D87" t="str">
        <x:v>Personal Care Product 1</x:v>
      </x:c>
      <x:c r="E87" s="10" t="n">
        <x:v>1257</x:v>
      </x:c>
      <x:c r="F87" s="10" t="n">
        <x:v>20.18</x:v>
      </x:c>
      <x:c r="G87" s="10" t="n">
        <x:v>10.59</x:v>
      </x:c>
      <x:c r="H87" s="10" t="n">
        <x:v>1345</x:v>
      </x:c>
      <x:c r="I87" s="10" t="n">
        <x:v>20.22</x:v>
      </x:c>
      <x:c r="J87" s="10" t="n">
        <x:v>11.01</x:v>
      </x:c>
      <x:c r="K87" s="10" t="n">
        <x:v>25366.26</x:v>
      </x:c>
      <x:c r="L87" s="10" t="n">
        <x:v>27195.9</x:v>
      </x:c>
      <x:c r="M87" s="10" t="n">
        <x:v>13311.63</x:v>
      </x:c>
      <x:c r="N87" s="10" t="n">
        <x:v>14808.45</x:v>
      </x:c>
    </x:row>
    <x:row r="88">
      <x:c r="A88" t="str">
        <x:v>2025-05</x:v>
      </x:c>
      <x:c r="B88" t="str">
        <x:v>AT-007</x:v>
      </x:c>
      <x:c r="C88" t="str">
        <x:v>Personal Care</x:v>
      </x:c>
      <x:c r="D88" t="str">
        <x:v>Personal Care Product 2</x:v>
      </x:c>
      <x:c r="E88" s="10" t="n">
        <x:v>1438</x:v>
      </x:c>
      <x:c r="F88" s="10" t="n">
        <x:v>23.71</x:v>
      </x:c>
      <x:c r="G88" s="10" t="n">
        <x:v>12.73</x:v>
      </x:c>
      <x:c r="H88" s="10" t="n">
        <x:v>1375</x:v>
      </x:c>
      <x:c r="I88" s="10" t="n">
        <x:v>23.52</x:v>
      </x:c>
      <x:c r="J88" s="10" t="n">
        <x:v>13.88</x:v>
      </x:c>
      <x:c r="K88" s="10" t="n">
        <x:v>34094.98</x:v>
      </x:c>
      <x:c r="L88" s="10" t="n">
        <x:v>32340</x:v>
      </x:c>
      <x:c r="M88" s="10" t="n">
        <x:v>18305.74</x:v>
      </x:c>
      <x:c r="N88" s="10" t="n">
        <x:v>19085</x:v>
      </x:c>
    </x:row>
    <x:row r="89">
      <x:c r="A89" t="str">
        <x:v>2025-05</x:v>
      </x:c>
      <x:c r="B89" t="str">
        <x:v>AT-008</x:v>
      </x:c>
      <x:c r="C89" t="str">
        <x:v>Personal Care</x:v>
      </x:c>
      <x:c r="D89" t="str">
        <x:v>Personal Care Product 3</x:v>
      </x:c>
      <x:c r="E89" s="10" t="n">
        <x:v>1524</x:v>
      </x:c>
      <x:c r="F89" s="10" t="n">
        <x:v>27.25</x:v>
      </x:c>
      <x:c r="G89" s="10" t="n">
        <x:v>14.96</x:v>
      </x:c>
      <x:c r="H89" s="10" t="n">
        <x:v>1666</x:v>
      </x:c>
      <x:c r="I89" s="10" t="n">
        <x:v>25.75</x:v>
      </x:c>
      <x:c r="J89" s="10" t="n">
        <x:v>16.25</x:v>
      </x:c>
      <x:c r="K89" s="10" t="n">
        <x:v>41529</x:v>
      </x:c>
      <x:c r="L89" s="10" t="n">
        <x:v>42899.5</x:v>
      </x:c>
      <x:c r="M89" s="10" t="n">
        <x:v>22799.04</x:v>
      </x:c>
      <x:c r="N89" s="10" t="n">
        <x:v>27072.5</x:v>
      </x:c>
    </x:row>
    <x:row r="90">
      <x:c r="A90" t="str">
        <x:v>2025-05</x:v>
      </x:c>
      <x:c r="B90" t="str">
        <x:v>AT-009</x:v>
      </x:c>
      <x:c r="C90" t="str">
        <x:v>Personal Care</x:v>
      </x:c>
      <x:c r="D90" t="str">
        <x:v>Personal Care Product 4</x:v>
      </x:c>
      <x:c r="E90" s="10" t="n">
        <x:v>1649</x:v>
      </x:c>
      <x:c r="F90" s="10" t="n">
        <x:v>30.78</x:v>
      </x:c>
      <x:c r="G90" s="10" t="n">
        <x:v>17.27</x:v>
      </x:c>
      <x:c r="H90" s="10" t="n">
        <x:v>1828</x:v>
      </x:c>
      <x:c r="I90" s="10" t="n">
        <x:v>29.35</x:v>
      </x:c>
      <x:c r="J90" s="10" t="n">
        <x:v>18.71</x:v>
      </x:c>
      <x:c r="K90" s="10" t="n">
        <x:v>50756.22</x:v>
      </x:c>
      <x:c r="L90" s="10" t="n">
        <x:v>53651.8</x:v>
      </x:c>
      <x:c r="M90" s="10" t="n">
        <x:v>28478.23</x:v>
      </x:c>
      <x:c r="N90" s="10" t="n">
        <x:v>34201.88</x:v>
      </x:c>
    </x:row>
    <x:row r="91">
      <x:c r="A91" t="str">
        <x:v>2025-05</x:v>
      </x:c>
      <x:c r="B91" t="str">
        <x:v>AT-010</x:v>
      </x:c>
      <x:c r="C91" t="str">
        <x:v>Personal Care</x:v>
      </x:c>
      <x:c r="D91" t="str">
        <x:v>Personal Care Product 5</x:v>
      </x:c>
      <x:c r="E91" s="10" t="n">
        <x:v>1770</x:v>
      </x:c>
      <x:c r="F91" s="10" t="n">
        <x:v>34.31</x:v>
      </x:c>
      <x:c r="G91" s="10" t="n">
        <x:v>19.66</x:v>
      </x:c>
      <x:c r="H91" s="10" t="n">
        <x:v>1754</x:v>
      </x:c>
      <x:c r="I91" s="10" t="n">
        <x:v>33.88</x:v>
      </x:c>
      <x:c r="J91" s="10" t="n">
        <x:v>20.31</x:v>
      </x:c>
      <x:c r="K91" s="10" t="n">
        <x:v>60728.7</x:v>
      </x:c>
      <x:c r="L91" s="10" t="n">
        <x:v>59425.52</x:v>
      </x:c>
      <x:c r="M91" s="10" t="n">
        <x:v>34798.2</x:v>
      </x:c>
      <x:c r="N91" s="10" t="n">
        <x:v>35623.74</x:v>
      </x:c>
    </x:row>
    <x:row r="92">
      <x:c r="A92" t="str">
        <x:v>2025-05</x:v>
      </x:c>
      <x:c r="B92" t="str">
        <x:v>AT-011</x:v>
      </x:c>
      <x:c r="C92" t="str">
        <x:v>Office Supplies</x:v>
      </x:c>
      <x:c r="D92" t="str">
        <x:v>Office Supplies Product 1</x:v>
      </x:c>
      <x:c r="E92" s="10" t="n">
        <x:v>1197</x:v>
      </x:c>
      <x:c r="F92" s="10" t="n">
        <x:v>28.25</x:v>
      </x:c>
      <x:c r="G92" s="10" t="n">
        <x:v>15.82</x:v>
      </x:c>
      <x:c r="H92" s="10" t="n">
        <x:v>1371</x:v>
      </x:c>
      <x:c r="I92" s="10" t="n">
        <x:v>27.53</x:v>
      </x:c>
      <x:c r="J92" s="10" t="n">
        <x:v>17.07</x:v>
      </x:c>
      <x:c r="K92" s="10" t="n">
        <x:v>33815.25</x:v>
      </x:c>
      <x:c r="L92" s="10" t="n">
        <x:v>37743.63</x:v>
      </x:c>
      <x:c r="M92" s="10" t="n">
        <x:v>18936.54</x:v>
      </x:c>
      <x:c r="N92" s="10" t="n">
        <x:v>23402.97</x:v>
      </x:c>
    </x:row>
    <x:row r="93">
      <x:c r="A93" t="str">
        <x:v>2025-05</x:v>
      </x:c>
      <x:c r="B93" t="str">
        <x:v>AT-012</x:v>
      </x:c>
      <x:c r="C93" t="str">
        <x:v>Office Supplies</x:v>
      </x:c>
      <x:c r="D93" t="str">
        <x:v>Office Supplies Product 2</x:v>
      </x:c>
      <x:c r="E93" s="10" t="n">
        <x:v>1318</x:v>
      </x:c>
      <x:c r="F93" s="10" t="n">
        <x:v>31.79</x:v>
      </x:c>
      <x:c r="G93" s="10" t="n">
        <x:v>18.18</x:v>
      </x:c>
      <x:c r="H93" s="10" t="n">
        <x:v>1262</x:v>
      </x:c>
      <x:c r="I93" s="10" t="n">
        <x:v>31.85</x:v>
      </x:c>
      <x:c r="J93" s="10" t="n">
        <x:v>19.38</x:v>
      </x:c>
      <x:c r="K93" s="10" t="n">
        <x:v>41899.22</x:v>
      </x:c>
      <x:c r="L93" s="10" t="n">
        <x:v>40194.7</x:v>
      </x:c>
      <x:c r="M93" s="10" t="n">
        <x:v>23961.24</x:v>
      </x:c>
      <x:c r="N93" s="10" t="n">
        <x:v>24457.56</x:v>
      </x:c>
    </x:row>
    <x:row r="94">
      <x:c r="A94" t="str">
        <x:v>2025-05</x:v>
      </x:c>
      <x:c r="B94" t="str">
        <x:v>AT-013</x:v>
      </x:c>
      <x:c r="C94" t="str">
        <x:v>Office Supplies</x:v>
      </x:c>
      <x:c r="D94" t="str">
        <x:v>Office Supplies Product 3</x:v>
      </x:c>
      <x:c r="E94" s="10" t="n">
        <x:v>1460</x:v>
      </x:c>
      <x:c r="F94" s="10" t="n">
        <x:v>35.32</x:v>
      </x:c>
      <x:c r="G94" s="10" t="n">
        <x:v>20.63</x:v>
      </x:c>
      <x:c r="H94" s="10" t="n">
        <x:v>1486</x:v>
      </x:c>
      <x:c r="I94" s="10" t="n">
        <x:v>35.35</x:v>
      </x:c>
      <x:c r="J94" s="10" t="n">
        <x:v>22.54</x:v>
      </x:c>
      <x:c r="K94" s="10" t="n">
        <x:v>51567.2</x:v>
      </x:c>
      <x:c r="L94" s="10" t="n">
        <x:v>52530.1</x:v>
      </x:c>
      <x:c r="M94" s="10" t="n">
        <x:v>30119.8</x:v>
      </x:c>
      <x:c r="N94" s="10" t="n">
        <x:v>33494.44</x:v>
      </x:c>
    </x:row>
    <x:row r="95">
      <x:c r="A95" t="str">
        <x:v>2025-05</x:v>
      </x:c>
      <x:c r="B95" t="str">
        <x:v>AT-014</x:v>
      </x:c>
      <x:c r="C95" t="str">
        <x:v>Office Supplies</x:v>
      </x:c>
      <x:c r="D95" t="str">
        <x:v>Office Supplies Product 4</x:v>
      </x:c>
      <x:c r="E95" s="10" t="n">
        <x:v>1564</x:v>
      </x:c>
      <x:c r="F95" s="10" t="n">
        <x:v>38.85</x:v>
      </x:c>
      <x:c r="G95" s="10" t="n">
        <x:v>23.15</x:v>
      </x:c>
      <x:c r="H95" s="10" t="n">
        <x:v>1480</x:v>
      </x:c>
      <x:c r="I95" s="10" t="n">
        <x:v>37.88</x:v>
      </x:c>
      <x:c r="J95" s="10" t="n">
        <x:v>24.01</x:v>
      </x:c>
      <x:c r="K95" s="10" t="n">
        <x:v>60761.4</x:v>
      </x:c>
      <x:c r="L95" s="10" t="n">
        <x:v>56062.4</x:v>
      </x:c>
      <x:c r="M95" s="10" t="n">
        <x:v>36206.6</x:v>
      </x:c>
      <x:c r="N95" s="10" t="n">
        <x:v>35534.8</x:v>
      </x:c>
    </x:row>
    <x:row r="96">
      <x:c r="A96" t="str">
        <x:v>2025-05</x:v>
      </x:c>
      <x:c r="B96" t="str">
        <x:v>AT-015</x:v>
      </x:c>
      <x:c r="C96" t="str">
        <x:v>Office Supplies</x:v>
      </x:c>
      <x:c r="D96" t="str">
        <x:v>Office Supplies Product 5</x:v>
      </x:c>
      <x:c r="E96" s="10" t="n">
        <x:v>1676</x:v>
      </x:c>
      <x:c r="F96" s="10" t="n">
        <x:v>42.38</x:v>
      </x:c>
      <x:c r="G96" s="10" t="n">
        <x:v>25.77</x:v>
      </x:c>
      <x:c r="H96" s="10" t="n">
        <x:v>1705</x:v>
      </x:c>
      <x:c r="I96" s="10" t="n">
        <x:v>40.33</x:v>
      </x:c>
      <x:c r="J96" s="10" t="n">
        <x:v>27.97</x:v>
      </x:c>
      <x:c r="K96" s="10" t="n">
        <x:v>71028.88</x:v>
      </x:c>
      <x:c r="L96" s="10" t="n">
        <x:v>68762.65</x:v>
      </x:c>
      <x:c r="M96" s="10" t="n">
        <x:v>43190.52</x:v>
      </x:c>
      <x:c r="N96" s="10" t="n">
        <x:v>47688.85</x:v>
      </x:c>
    </x:row>
    <x:row r="97">
      <x:c r="A97" t="str">
        <x:v>2025-05</x:v>
      </x:c>
      <x:c r="B97" t="str">
        <x:v>AT-016</x:v>
      </x:c>
      <x:c r="C97" t="str">
        <x:v>Lifestyle Accessories</x:v>
      </x:c>
      <x:c r="D97" t="str">
        <x:v>Lifestyle Accessories Product 1</x:v>
      </x:c>
      <x:c r="E97" s="10" t="n">
        <x:v>1096</x:v>
      </x:c>
      <x:c r="F97" s="10" t="n">
        <x:v>36.33</x:v>
      </x:c>
      <x:c r="G97" s="10" t="n">
        <x:v>21.62</x:v>
      </x:c>
      <x:c r="H97" s="10" t="n">
        <x:v>1172</x:v>
      </x:c>
      <x:c r="I97" s="10" t="n">
        <x:v>34.91</x:v>
      </x:c>
      <x:c r="J97" s="10" t="n">
        <x:v>23.34</x:v>
      </x:c>
      <x:c r="K97" s="10" t="n">
        <x:v>39817.68</x:v>
      </x:c>
      <x:c r="L97" s="10" t="n">
        <x:v>40914.52</x:v>
      </x:c>
      <x:c r="M97" s="10" t="n">
        <x:v>23695.52</x:v>
      </x:c>
      <x:c r="N97" s="10" t="n">
        <x:v>27354.48</x:v>
      </x:c>
    </x:row>
    <x:row r="98">
      <x:c r="A98" t="str">
        <x:v>2025-05</x:v>
      </x:c>
      <x:c r="B98" t="str">
        <x:v>AT-017</x:v>
      </x:c>
      <x:c r="C98" t="str">
        <x:v>Lifestyle Accessories</x:v>
      </x:c>
      <x:c r="D98" t="str">
        <x:v>Lifestyle Accessories Product 2</x:v>
      </x:c>
      <x:c r="E98" s="10" t="n">
        <x:v>1246</x:v>
      </x:c>
      <x:c r="F98" s="10" t="n">
        <x:v>39.86</x:v>
      </x:c>
      <x:c r="G98" s="10" t="n">
        <x:v>24.2</x:v>
      </x:c>
      <x:c r="H98" s="10" t="n">
        <x:v>1106</x:v>
      </x:c>
      <x:c r="I98" s="10" t="n">
        <x:v>40.14</x:v>
      </x:c>
      <x:c r="J98" s="10" t="n">
        <x:v>25.7</x:v>
      </x:c>
      <x:c r="K98" s="10" t="n">
        <x:v>49665.56</x:v>
      </x:c>
      <x:c r="L98" s="10" t="n">
        <x:v>44394.84</x:v>
      </x:c>
      <x:c r="M98" s="10" t="n">
        <x:v>30153.2</x:v>
      </x:c>
      <x:c r="N98" s="10" t="n">
        <x:v>28424.2</x:v>
      </x:c>
    </x:row>
    <x:row r="99">
      <x:c r="A99" t="str">
        <x:v>2025-05</x:v>
      </x:c>
      <x:c r="B99" t="str">
        <x:v>AT-018</x:v>
      </x:c>
      <x:c r="C99" t="str">
        <x:v>Lifestyle Accessories</x:v>
      </x:c>
      <x:c r="D99" t="str">
        <x:v>Lifestyle Accessories Product 3</x:v>
      </x:c>
      <x:c r="E99" s="10" t="n">
        <x:v>1349</x:v>
      </x:c>
      <x:c r="F99" s="10" t="n">
        <x:v>43.39</x:v>
      </x:c>
      <x:c r="G99" s="10" t="n">
        <x:v>26.86</x:v>
      </x:c>
      <x:c r="H99" s="10" t="n">
        <x:v>1374</x:v>
      </x:c>
      <x:c r="I99" s="10" t="n">
        <x:v>43</x:v>
      </x:c>
      <x:c r="J99" s="10" t="n">
        <x:v>28.4</x:v>
      </x:c>
      <x:c r="K99" s="10" t="n">
        <x:v>58533.11</x:v>
      </x:c>
      <x:c r="L99" s="10" t="n">
        <x:v>59082</x:v>
      </x:c>
      <x:c r="M99" s="10" t="n">
        <x:v>36234.14</x:v>
      </x:c>
      <x:c r="N99" s="10" t="n">
        <x:v>39021.6</x:v>
      </x:c>
    </x:row>
    <x:row r="100">
      <x:c r="A100" t="str">
        <x:v>2025-05</x:v>
      </x:c>
      <x:c r="B100" t="str">
        <x:v>AT-019</x:v>
      </x:c>
      <x:c r="C100" t="str">
        <x:v>Lifestyle Accessories</x:v>
      </x:c>
      <x:c r="D100" t="str">
        <x:v>Lifestyle Accessories Product 4</x:v>
      </x:c>
      <x:c r="E100" s="10" t="n">
        <x:v>1494</x:v>
      </x:c>
      <x:c r="F100" s="10" t="n">
        <x:v>46.92</x:v>
      </x:c>
      <x:c r="G100" s="10" t="n">
        <x:v>29.61</x:v>
      </x:c>
      <x:c r="H100" s="10" t="n">
        <x:v>1402</x:v>
      </x:c>
      <x:c r="I100" s="10" t="n">
        <x:v>45.03</x:v>
      </x:c>
      <x:c r="J100" s="10" t="n">
        <x:v>30.58</x:v>
      </x:c>
      <x:c r="K100" s="10" t="n">
        <x:v>70098.48</x:v>
      </x:c>
      <x:c r="L100" s="10" t="n">
        <x:v>63132.06</x:v>
      </x:c>
      <x:c r="M100" s="10" t="n">
        <x:v>44237.34</x:v>
      </x:c>
      <x:c r="N100" s="10" t="n">
        <x:v>42873.16</x:v>
      </x:c>
    </x:row>
    <x:row r="101">
      <x:c r="A101" t="str">
        <x:v>2025-05</x:v>
      </x:c>
      <x:c r="B101" t="str">
        <x:v>AT-020</x:v>
      </x:c>
      <x:c r="C101" t="str">
        <x:v>Lifestyle Accessories</x:v>
      </x:c>
      <x:c r="D101" t="str">
        <x:v>Lifestyle Accessories Product 5</x:v>
      </x:c>
      <x:c r="E101" s="10" t="n">
        <x:v>1609</x:v>
      </x:c>
      <x:c r="F101" s="10" t="n">
        <x:v>50.45</x:v>
      </x:c>
      <x:c r="G101" s="10" t="n">
        <x:v>32.44</x:v>
      </x:c>
      <x:c r="H101" s="10" t="n">
        <x:v>1814</x:v>
      </x:c>
      <x:c r="I101" s="10" t="n">
        <x:v>49.44</x:v>
      </x:c>
      <x:c r="J101" s="10" t="n">
        <x:v>35.59</x:v>
      </x:c>
      <x:c r="K101" s="10" t="n">
        <x:v>81174.05</x:v>
      </x:c>
      <x:c r="L101" s="10" t="n">
        <x:v>89684.16</x:v>
      </x:c>
      <x:c r="M101" s="10" t="n">
        <x:v>52195.96</x:v>
      </x:c>
      <x:c r="N101" s="10" t="n">
        <x:v>64560.26</x:v>
      </x:c>
    </x:row>
    <x:row r="102">
      <x:c r="A102" t="str">
        <x:v>2025-06</x:v>
      </x:c>
      <x:c r="B102" t="str">
        <x:v>AT-001</x:v>
      </x:c>
      <x:c r="C102" t="str">
        <x:v>Home Essentials</x:v>
      </x:c>
      <x:c r="D102" t="str">
        <x:v>Home Essentials Product 1</x:v>
      </x:c>
      <x:c r="E102" s="10" t="n">
        <x:v>1365</x:v>
      </x:c>
      <x:c r="F102" s="10" t="n">
        <x:v>12.14</x:v>
      </x:c>
      <x:c r="G102" s="10" t="n">
        <x:v>5.95</x:v>
      </x:c>
      <x:c r="H102" s="10" t="n">
        <x:v>1316</x:v>
      </x:c>
      <x:c r="I102" s="10" t="n">
        <x:v>12.33</x:v>
      </x:c>
      <x:c r="J102" s="10" t="n">
        <x:v>6.09</x:v>
      </x:c>
      <x:c r="K102" s="10" t="n">
        <x:v>16571.1</x:v>
      </x:c>
      <x:c r="L102" s="10" t="n">
        <x:v>16226.28</x:v>
      </x:c>
      <x:c r="M102" s="10" t="n">
        <x:v>8121.75</x:v>
      </x:c>
      <x:c r="N102" s="10" t="n">
        <x:v>8014.44</x:v>
      </x:c>
    </x:row>
    <x:row r="103">
      <x:c r="A103" t="str">
        <x:v>2025-06</x:v>
      </x:c>
      <x:c r="B103" t="str">
        <x:v>AT-002</x:v>
      </x:c>
      <x:c r="C103" t="str">
        <x:v>Home Essentials</x:v>
      </x:c>
      <x:c r="D103" t="str">
        <x:v>Home Essentials Product 2</x:v>
      </x:c>
      <x:c r="E103" s="10" t="n">
        <x:v>1472</x:v>
      </x:c>
      <x:c r="F103" s="10" t="n">
        <x:v>15.68</x:v>
      </x:c>
      <x:c r="G103" s="10" t="n">
        <x:v>7.87</x:v>
      </x:c>
      <x:c r="H103" s="10" t="n">
        <x:v>1420</x:v>
      </x:c>
      <x:c r="I103" s="10" t="n">
        <x:v>15.42</x:v>
      </x:c>
      <x:c r="J103" s="10" t="n">
        <x:v>8.4</x:v>
      </x:c>
      <x:c r="K103" s="10" t="n">
        <x:v>23080.96</x:v>
      </x:c>
      <x:c r="L103" s="10" t="n">
        <x:v>21896.4</x:v>
      </x:c>
      <x:c r="M103" s="10" t="n">
        <x:v>11584.64</x:v>
      </x:c>
      <x:c r="N103" s="10" t="n">
        <x:v>11928</x:v>
      </x:c>
    </x:row>
    <x:row r="104">
      <x:c r="A104" t="str">
        <x:v>2025-06</x:v>
      </x:c>
      <x:c r="B104" t="str">
        <x:v>AT-003</x:v>
      </x:c>
      <x:c r="C104" t="str">
        <x:v>Home Essentials</x:v>
      </x:c>
      <x:c r="D104" t="str">
        <x:v>Home Essentials Product 3</x:v>
      </x:c>
      <x:c r="E104" s="10" t="n">
        <x:v>1608</x:v>
      </x:c>
      <x:c r="F104" s="10" t="n">
        <x:v>19.22</x:v>
      </x:c>
      <x:c r="G104" s="10" t="n">
        <x:v>9.88</x:v>
      </x:c>
      <x:c r="H104" s="10" t="n">
        <x:v>1632</x:v>
      </x:c>
      <x:c r="I104" s="10" t="n">
        <x:v>18.23</x:v>
      </x:c>
      <x:c r="J104" s="10" t="n">
        <x:v>10.39</x:v>
      </x:c>
      <x:c r="K104" s="10" t="n">
        <x:v>30905.76</x:v>
      </x:c>
      <x:c r="L104" s="10" t="n">
        <x:v>29751.36</x:v>
      </x:c>
      <x:c r="M104" s="10" t="n">
        <x:v>15887.04</x:v>
      </x:c>
      <x:c r="N104" s="10" t="n">
        <x:v>16956.48</x:v>
      </x:c>
    </x:row>
    <x:row r="105">
      <x:c r="A105" t="str">
        <x:v>2025-06</x:v>
      </x:c>
      <x:c r="B105" t="str">
        <x:v>AT-004</x:v>
      </x:c>
      <x:c r="C105" t="str">
        <x:v>Home Essentials</x:v>
      </x:c>
      <x:c r="D105" t="str">
        <x:v>Home Essentials Product 4</x:v>
      </x:c>
      <x:c r="E105" s="10" t="n">
        <x:v>1732</x:v>
      </x:c>
      <x:c r="F105" s="10" t="n">
        <x:v>22.76</x:v>
      </x:c>
      <x:c r="G105" s="10" t="n">
        <x:v>11.97</x:v>
      </x:c>
      <x:c r="H105" s="10" t="n">
        <x:v>1645</x:v>
      </x:c>
      <x:c r="I105" s="10" t="n">
        <x:v>22.64</x:v>
      </x:c>
      <x:c r="J105" s="10" t="n">
        <x:v>12.21</x:v>
      </x:c>
      <x:c r="K105" s="10" t="n">
        <x:v>39420.32</x:v>
      </x:c>
      <x:c r="L105" s="10" t="n">
        <x:v>37242.8</x:v>
      </x:c>
      <x:c r="M105" s="10" t="n">
        <x:v>20732.04</x:v>
      </x:c>
      <x:c r="N105" s="10" t="n">
        <x:v>20085.45</x:v>
      </x:c>
    </x:row>
    <x:row r="106">
      <x:c r="A106" t="str">
        <x:v>2025-06</x:v>
      </x:c>
      <x:c r="B106" t="str">
        <x:v>AT-005</x:v>
      </x:c>
      <x:c r="C106" t="str">
        <x:v>Home Essentials</x:v>
      </x:c>
      <x:c r="D106" t="str">
        <x:v>Home Essentials Product 5</x:v>
      </x:c>
      <x:c r="E106" s="10" t="n">
        <x:v>1796</x:v>
      </x:c>
      <x:c r="F106" s="10" t="n">
        <x:v>26.3</x:v>
      </x:c>
      <x:c r="G106" s="10" t="n">
        <x:v>14.15</x:v>
      </x:c>
      <x:c r="H106" s="10" t="n">
        <x:v>1926</x:v>
      </x:c>
      <x:c r="I106" s="10" t="n">
        <x:v>25.66</x:v>
      </x:c>
      <x:c r="J106" s="10" t="n">
        <x:v>14.93</x:v>
      </x:c>
      <x:c r="K106" s="10" t="n">
        <x:v>47234.8</x:v>
      </x:c>
      <x:c r="L106" s="10" t="n">
        <x:v>49421.16</x:v>
      </x:c>
      <x:c r="M106" s="10" t="n">
        <x:v>25413.4</x:v>
      </x:c>
      <x:c r="N106" s="10" t="n">
        <x:v>28755.18</x:v>
      </x:c>
    </x:row>
    <x:row r="107">
      <x:c r="A107" t="str">
        <x:v>2025-06</x:v>
      </x:c>
      <x:c r="B107" t="str">
        <x:v>AT-006</x:v>
      </x:c>
      <x:c r="C107" t="str">
        <x:v>Personal Care</x:v>
      </x:c>
      <x:c r="D107" t="str">
        <x:v>Personal Care Product 1</x:v>
      </x:c>
      <x:c r="E107" s="10" t="n">
        <x:v>1261</x:v>
      </x:c>
      <x:c r="F107" s="10" t="n">
        <x:v>20.23</x:v>
      </x:c>
      <x:c r="G107" s="10" t="n">
        <x:v>10.62</x:v>
      </x:c>
      <x:c r="H107" s="10" t="n">
        <x:v>1178</x:v>
      </x:c>
      <x:c r="I107" s="10" t="n">
        <x:v>19.39</x:v>
      </x:c>
      <x:c r="J107" s="10" t="n">
        <x:v>11.12</x:v>
      </x:c>
      <x:c r="K107" s="10" t="n">
        <x:v>25510.03</x:v>
      </x:c>
      <x:c r="L107" s="10" t="n">
        <x:v>22841.42</x:v>
      </x:c>
      <x:c r="M107" s="10" t="n">
        <x:v>13391.82</x:v>
      </x:c>
      <x:c r="N107" s="10" t="n">
        <x:v>13099.36</x:v>
      </x:c>
    </x:row>
    <x:row r="108">
      <x:c r="A108" t="str">
        <x:v>2025-06</x:v>
      </x:c>
      <x:c r="B108" t="str">
        <x:v>AT-007</x:v>
      </x:c>
      <x:c r="C108" t="str">
        <x:v>Personal Care</x:v>
      </x:c>
      <x:c r="D108" t="str">
        <x:v>Personal Care Product 2</x:v>
      </x:c>
      <x:c r="E108" s="10" t="n">
        <x:v>1398</x:v>
      </x:c>
      <x:c r="F108" s="10" t="n">
        <x:v>23.77</x:v>
      </x:c>
      <x:c r="G108" s="10" t="n">
        <x:v>12.76</x:v>
      </x:c>
      <x:c r="H108" s="10" t="n">
        <x:v>1482</x:v>
      </x:c>
      <x:c r="I108" s="10" t="n">
        <x:v>22.52</x:v>
      </x:c>
      <x:c r="J108" s="10" t="n">
        <x:v>13.3</x:v>
      </x:c>
      <x:c r="K108" s="10" t="n">
        <x:v>33230.46</x:v>
      </x:c>
      <x:c r="L108" s="10" t="n">
        <x:v>33374.64</x:v>
      </x:c>
      <x:c r="M108" s="10" t="n">
        <x:v>17838.48</x:v>
      </x:c>
      <x:c r="N108" s="10" t="n">
        <x:v>19710.6</x:v>
      </x:c>
    </x:row>
    <x:row r="109">
      <x:c r="A109" t="str">
        <x:v>2025-06</x:v>
      </x:c>
      <x:c r="B109" t="str">
        <x:v>AT-008</x:v>
      </x:c>
      <x:c r="C109" t="str">
        <x:v>Personal Care</x:v>
      </x:c>
      <x:c r="D109" t="str">
        <x:v>Personal Care Product 3</x:v>
      </x:c>
      <x:c r="E109" s="10" t="n">
        <x:v>1468</x:v>
      </x:c>
      <x:c r="F109" s="10" t="n">
        <x:v>27.31</x:v>
      </x:c>
      <x:c r="G109" s="10" t="n">
        <x:v>14.99</x:v>
      </x:c>
      <x:c r="H109" s="10" t="n">
        <x:v>1514</x:v>
      </x:c>
      <x:c r="I109" s="10" t="n">
        <x:v>26.75</x:v>
      </x:c>
      <x:c r="J109" s="10" t="n">
        <x:v>16.21</x:v>
      </x:c>
      <x:c r="K109" s="10" t="n">
        <x:v>40091.08</x:v>
      </x:c>
      <x:c r="L109" s="10" t="n">
        <x:v>40499.5</x:v>
      </x:c>
      <x:c r="M109" s="10" t="n">
        <x:v>22005.32</x:v>
      </x:c>
      <x:c r="N109" s="10" t="n">
        <x:v>24541.94</x:v>
      </x:c>
    </x:row>
    <x:row r="110">
      <x:c r="A110" t="str">
        <x:v>2025-06</x:v>
      </x:c>
      <x:c r="B110" t="str">
        <x:v>AT-009</x:v>
      </x:c>
      <x:c r="C110" t="str">
        <x:v>Personal Care</x:v>
      </x:c>
      <x:c r="D110" t="str">
        <x:v>Personal Care Product 4</x:v>
      </x:c>
      <x:c r="E110" s="10" t="n">
        <x:v>1623</x:v>
      </x:c>
      <x:c r="F110" s="10" t="n">
        <x:v>30.85</x:v>
      </x:c>
      <x:c r="G110" s="10" t="n">
        <x:v>17.31</x:v>
      </x:c>
      <x:c r="H110" s="10" t="n">
        <x:v>1777</x:v>
      </x:c>
      <x:c r="I110" s="10" t="n">
        <x:v>31.29</x:v>
      </x:c>
      <x:c r="J110" s="10" t="n">
        <x:v>17.84</x:v>
      </x:c>
      <x:c r="K110" s="10" t="n">
        <x:v>50069.55</x:v>
      </x:c>
      <x:c r="L110" s="10" t="n">
        <x:v>55602.33</x:v>
      </x:c>
      <x:c r="M110" s="10" t="n">
        <x:v>28094.13</x:v>
      </x:c>
      <x:c r="N110" s="10" t="n">
        <x:v>31701.68</x:v>
      </x:c>
    </x:row>
    <x:row r="111">
      <x:c r="A111" t="str">
        <x:v>2025-06</x:v>
      </x:c>
      <x:c r="B111" t="str">
        <x:v>AT-010</x:v>
      </x:c>
      <x:c r="C111" t="str">
        <x:v>Personal Care</x:v>
      </x:c>
      <x:c r="D111" t="str">
        <x:v>Personal Care Product 5</x:v>
      </x:c>
      <x:c r="E111" s="10" t="n">
        <x:v>1762</x:v>
      </x:c>
      <x:c r="F111" s="10" t="n">
        <x:v>34.39</x:v>
      </x:c>
      <x:c r="G111" s="10" t="n">
        <x:v>19.71</x:v>
      </x:c>
      <x:c r="H111" s="10" t="n">
        <x:v>1790</x:v>
      </x:c>
      <x:c r="I111" s="10" t="n">
        <x:v>35.41</x:v>
      </x:c>
      <x:c r="J111" s="10" t="n">
        <x:v>20.72</x:v>
      </x:c>
      <x:c r="K111" s="10" t="n">
        <x:v>60595.18</x:v>
      </x:c>
      <x:c r="L111" s="10" t="n">
        <x:v>63383.9</x:v>
      </x:c>
      <x:c r="M111" s="10" t="n">
        <x:v>34729.02</x:v>
      </x:c>
      <x:c r="N111" s="10" t="n">
        <x:v>37088.8</x:v>
      </x:c>
    </x:row>
    <x:row r="112">
      <x:c r="A112" t="str">
        <x:v>2025-06</x:v>
      </x:c>
      <x:c r="B112" t="str">
        <x:v>AT-011</x:v>
      </x:c>
      <x:c r="C112" t="str">
        <x:v>Office Supplies</x:v>
      </x:c>
      <x:c r="D112" t="str">
        <x:v>Office Supplies Product 1</x:v>
      </x:c>
      <x:c r="E112" s="10" t="n">
        <x:v>1165</x:v>
      </x:c>
      <x:c r="F112" s="10" t="n">
        <x:v>28.32</x:v>
      </x:c>
      <x:c r="G112" s="10" t="n">
        <x:v>15.86</x:v>
      </x:c>
      <x:c r="H112" s="10" t="n">
        <x:v>1241</x:v>
      </x:c>
      <x:c r="I112" s="10" t="n">
        <x:v>27.77</x:v>
      </x:c>
      <x:c r="J112" s="10" t="n">
        <x:v>16.52</x:v>
      </x:c>
      <x:c r="K112" s="10" t="n">
        <x:v>32992.8</x:v>
      </x:c>
      <x:c r="L112" s="10" t="n">
        <x:v>34462.57</x:v>
      </x:c>
      <x:c r="M112" s="10" t="n">
        <x:v>18476.9</x:v>
      </x:c>
      <x:c r="N112" s="10" t="n">
        <x:v>20501.32</x:v>
      </x:c>
    </x:row>
    <x:row r="113">
      <x:c r="A113" t="str">
        <x:v>2025-06</x:v>
      </x:c>
      <x:c r="B113" t="str">
        <x:v>AT-012</x:v>
      </x:c>
      <x:c r="C113" t="str">
        <x:v>Office Supplies</x:v>
      </x:c>
      <x:c r="D113" t="str">
        <x:v>Office Supplies Product 2</x:v>
      </x:c>
      <x:c r="E113" s="10" t="n">
        <x:v>1261</x:v>
      </x:c>
      <x:c r="F113" s="10" t="n">
        <x:v>31.86</x:v>
      </x:c>
      <x:c r="G113" s="10" t="n">
        <x:v>18.22</x:v>
      </x:c>
      <x:c r="H113" s="10" t="n">
        <x:v>1260</x:v>
      </x:c>
      <x:c r="I113" s="10" t="n">
        <x:v>32.53</x:v>
      </x:c>
      <x:c r="J113" s="10" t="n">
        <x:v>19.65</x:v>
      </x:c>
      <x:c r="K113" s="10" t="n">
        <x:v>40175.46</x:v>
      </x:c>
      <x:c r="L113" s="10" t="n">
        <x:v>40987.8</x:v>
      </x:c>
      <x:c r="M113" s="10" t="n">
        <x:v>22975.42</x:v>
      </x:c>
      <x:c r="N113" s="10" t="n">
        <x:v>24759</x:v>
      </x:c>
    </x:row>
    <x:row r="114">
      <x:c r="A114" t="str">
        <x:v>2025-06</x:v>
      </x:c>
      <x:c r="B114" t="str">
        <x:v>AT-013</x:v>
      </x:c>
      <x:c r="C114" t="str">
        <x:v>Office Supplies</x:v>
      </x:c>
      <x:c r="D114" t="str">
        <x:v>Office Supplies Product 3</x:v>
      </x:c>
      <x:c r="E114" s="10" t="n">
        <x:v>1424</x:v>
      </x:c>
      <x:c r="F114" s="10" t="n">
        <x:v>35.4</x:v>
      </x:c>
      <x:c r="G114" s="10" t="n">
        <x:v>20.67</x:v>
      </x:c>
      <x:c r="H114" s="10" t="n">
        <x:v>1546</x:v>
      </x:c>
      <x:c r="I114" s="10" t="n">
        <x:v>35.85</x:v>
      </x:c>
      <x:c r="J114" s="10" t="n">
        <x:v>21.42</x:v>
      </x:c>
      <x:c r="K114" s="10" t="n">
        <x:v>50409.6</x:v>
      </x:c>
      <x:c r="L114" s="10" t="n">
        <x:v>55424.1</x:v>
      </x:c>
      <x:c r="M114" s="10" t="n">
        <x:v>29434.08</x:v>
      </x:c>
      <x:c r="N114" s="10" t="n">
        <x:v>33115.32</x:v>
      </x:c>
    </x:row>
    <x:row r="115">
      <x:c r="A115" t="str">
        <x:v>2025-06</x:v>
      </x:c>
      <x:c r="B115" t="str">
        <x:v>AT-014</x:v>
      </x:c>
      <x:c r="C115" t="str">
        <x:v>Office Supplies</x:v>
      </x:c>
      <x:c r="D115" t="str">
        <x:v>Office Supplies Product 4</x:v>
      </x:c>
      <x:c r="E115" s="10" t="n">
        <x:v>1534</x:v>
      </x:c>
      <x:c r="F115" s="10" t="n">
        <x:v>38.94</x:v>
      </x:c>
      <x:c r="G115" s="10" t="n">
        <x:v>23.21</x:v>
      </x:c>
      <x:c r="H115" s="10" t="n">
        <x:v>1377</x:v>
      </x:c>
      <x:c r="I115" s="10" t="n">
        <x:v>40</x:v>
      </x:c>
      <x:c r="J115" s="10" t="n">
        <x:v>24.3</x:v>
      </x:c>
      <x:c r="K115" s="10" t="n">
        <x:v>59733.96</x:v>
      </x:c>
      <x:c r="L115" s="10" t="n">
        <x:v>55080</x:v>
      </x:c>
      <x:c r="M115" s="10" t="n">
        <x:v>35604.14</x:v>
      </x:c>
      <x:c r="N115" s="10" t="n">
        <x:v>33461.1</x:v>
      </x:c>
    </x:row>
    <x:row r="116">
      <x:c r="A116" t="str">
        <x:v>2025-06</x:v>
      </x:c>
      <x:c r="B116" t="str">
        <x:v>AT-015</x:v>
      </x:c>
      <x:c r="C116" t="str">
        <x:v>Office Supplies</x:v>
      </x:c>
      <x:c r="D116" t="str">
        <x:v>Office Supplies Product 5</x:v>
      </x:c>
      <x:c r="E116" s="10" t="n">
        <x:v>1635</x:v>
      </x:c>
      <x:c r="F116" s="10" t="n">
        <x:v>42.48</x:v>
      </x:c>
      <x:c r="G116" s="10" t="n">
        <x:v>25.83</x:v>
      </x:c>
      <x:c r="H116" s="10" t="n">
        <x:v>1720</x:v>
      </x:c>
      <x:c r="I116" s="10" t="n">
        <x:v>41.62</x:v>
      </x:c>
      <x:c r="J116" s="10" t="n">
        <x:v>27.91</x:v>
      </x:c>
      <x:c r="K116" s="10" t="n">
        <x:v>69454.8</x:v>
      </x:c>
      <x:c r="L116" s="10" t="n">
        <x:v>71586.4</x:v>
      </x:c>
      <x:c r="M116" s="10" t="n">
        <x:v>42232.05</x:v>
      </x:c>
      <x:c r="N116" s="10" t="n">
        <x:v>48005.2</x:v>
      </x:c>
    </x:row>
    <x:row r="117">
      <x:c r="A117" t="str">
        <x:v>2025-06</x:v>
      </x:c>
      <x:c r="B117" t="str">
        <x:v>AT-016</x:v>
      </x:c>
      <x:c r="C117" t="str">
        <x:v>Lifestyle Accessories</x:v>
      </x:c>
      <x:c r="D117" t="str">
        <x:v>Lifestyle Accessories Product 1</x:v>
      </x:c>
      <x:c r="E117" s="10" t="n">
        <x:v>1081</x:v>
      </x:c>
      <x:c r="F117" s="10" t="n">
        <x:v>36.41</x:v>
      </x:c>
      <x:c r="G117" s="10" t="n">
        <x:v>21.66</x:v>
      </x:c>
      <x:c r="H117" s="10" t="n">
        <x:v>1235</x:v>
      </x:c>
      <x:c r="I117" s="10" t="n">
        <x:v>35.76</x:v>
      </x:c>
      <x:c r="J117" s="10" t="n">
        <x:v>22.44</x:v>
      </x:c>
      <x:c r="K117" s="10" t="n">
        <x:v>39359.21</x:v>
      </x:c>
      <x:c r="L117" s="10" t="n">
        <x:v>44163.6</x:v>
      </x:c>
      <x:c r="M117" s="10" t="n">
        <x:v>23414.46</x:v>
      </x:c>
      <x:c r="N117" s="10" t="n">
        <x:v>27713.4</x:v>
      </x:c>
    </x:row>
    <x:row r="118">
      <x:c r="A118" t="str">
        <x:v>2025-06</x:v>
      </x:c>
      <x:c r="B118" t="str">
        <x:v>AT-017</x:v>
      </x:c>
      <x:c r="C118" t="str">
        <x:v>Lifestyle Accessories</x:v>
      </x:c>
      <x:c r="D118" t="str">
        <x:v>Lifestyle Accessories Product 2</x:v>
      </x:c>
      <x:c r="E118" s="10" t="n">
        <x:v>1186</x:v>
      </x:c>
      <x:c r="F118" s="10" t="n">
        <x:v>39.95</x:v>
      </x:c>
      <x:c r="G118" s="10" t="n">
        <x:v>24.25</x:v>
      </x:c>
      <x:c r="H118" s="10" t="n">
        <x:v>1287</x:v>
      </x:c>
      <x:c r="I118" s="10" t="n">
        <x:v>40.56</x:v>
      </x:c>
      <x:c r="J118" s="10" t="n">
        <x:v>25.01</x:v>
      </x:c>
      <x:c r="K118" s="10" t="n">
        <x:v>47380.7</x:v>
      </x:c>
      <x:c r="L118" s="10" t="n">
        <x:v>52200.72</x:v>
      </x:c>
      <x:c r="M118" s="10" t="n">
        <x:v>28760.5</x:v>
      </x:c>
      <x:c r="N118" s="10" t="n">
        <x:v>32187.87</x:v>
      </x:c>
    </x:row>
    <x:row r="119">
      <x:c r="A119" t="str">
        <x:v>2025-06</x:v>
      </x:c>
      <x:c r="B119" t="str">
        <x:v>AT-018</x:v>
      </x:c>
      <x:c r="C119" t="str">
        <x:v>Lifestyle Accessories</x:v>
      </x:c>
      <x:c r="D119" t="str">
        <x:v>Lifestyle Accessories Product 3</x:v>
      </x:c>
      <x:c r="E119" s="10" t="n">
        <x:v>1311</x:v>
      </x:c>
      <x:c r="F119" s="10" t="n">
        <x:v>43.49</x:v>
      </x:c>
      <x:c r="G119" s="10" t="n">
        <x:v>26.92</x:v>
      </x:c>
      <x:c r="H119" s="10" t="n">
        <x:v>1253</x:v>
      </x:c>
      <x:c r="I119" s="10" t="n">
        <x:v>44.12</x:v>
      </x:c>
      <x:c r="J119" s="10" t="n">
        <x:v>27.38</x:v>
      </x:c>
      <x:c r="K119" s="10" t="n">
        <x:v>57015.39</x:v>
      </x:c>
      <x:c r="L119" s="10" t="n">
        <x:v>55282.36</x:v>
      </x:c>
      <x:c r="M119" s="10" t="n">
        <x:v>35292.12</x:v>
      </x:c>
      <x:c r="N119" s="10" t="n">
        <x:v>34307.14</x:v>
      </x:c>
    </x:row>
    <x:row r="120">
      <x:c r="A120" t="str">
        <x:v>2025-06</x:v>
      </x:c>
      <x:c r="B120" t="str">
        <x:v>AT-019</x:v>
      </x:c>
      <x:c r="C120" t="str">
        <x:v>Lifestyle Accessories</x:v>
      </x:c>
      <x:c r="D120" t="str">
        <x:v>Lifestyle Accessories Product 4</x:v>
      </x:c>
      <x:c r="E120" s="10" t="n">
        <x:v>1418</x:v>
      </x:c>
      <x:c r="F120" s="10" t="n">
        <x:v>47.03</x:v>
      </x:c>
      <x:c r="G120" s="10" t="n">
        <x:v>29.68</x:v>
      </x:c>
      <x:c r="H120" s="10" t="n">
        <x:v>1443</x:v>
      </x:c>
      <x:c r="I120" s="10" t="n">
        <x:v>46.38</x:v>
      </x:c>
      <x:c r="J120" s="10" t="n">
        <x:v>32.64</x:v>
      </x:c>
      <x:c r="K120" s="10" t="n">
        <x:v>66688.54</x:v>
      </x:c>
      <x:c r="L120" s="10" t="n">
        <x:v>66926.34</x:v>
      </x:c>
      <x:c r="M120" s="10" t="n">
        <x:v>42086.24</x:v>
      </x:c>
      <x:c r="N120" s="10" t="n">
        <x:v>47099.52</x:v>
      </x:c>
    </x:row>
    <x:row r="121">
      <x:c r="A121" t="str">
        <x:v>2025-06</x:v>
      </x:c>
      <x:c r="B121" t="str">
        <x:v>AT-020</x:v>
      </x:c>
      <x:c r="C121" t="str">
        <x:v>Lifestyle Accessories</x:v>
      </x:c>
      <x:c r="D121" t="str">
        <x:v>Lifestyle Accessories Product 5</x:v>
      </x:c>
      <x:c r="E121" s="10" t="n">
        <x:v>1549</x:v>
      </x:c>
      <x:c r="F121" s="10" t="n">
        <x:v>50.57</x:v>
      </x:c>
      <x:c r="G121" s="10" t="n">
        <x:v>32.52</x:v>
      </x:c>
      <x:c r="H121" s="10" t="n">
        <x:v>1422</x:v>
      </x:c>
      <x:c r="I121" s="10" t="n">
        <x:v>49.87</x:v>
      </x:c>
      <x:c r="J121" s="10" t="n">
        <x:v>33.08</x:v>
      </x:c>
      <x:c r="K121" s="10" t="n">
        <x:v>78332.93</x:v>
      </x:c>
      <x:c r="L121" s="10" t="n">
        <x:v>70915.14</x:v>
      </x:c>
      <x:c r="M121" s="10" t="n">
        <x:v>50373.48</x:v>
      </x:c>
      <x:c r="N121" s="10" t="n">
        <x:v>47039.76</x:v>
      </x:c>
    </x:row>
    <x:row r="122">
      <x:c r="A122" t="str">
        <x:v>2025-07</x:v>
      </x:c>
      <x:c r="B122" t="str">
        <x:v>AT-001</x:v>
      </x:c>
      <x:c r="C122" t="str">
        <x:v>Home Essentials</x:v>
      </x:c>
      <x:c r="D122" t="str">
        <x:v>Home Essentials Product 1</x:v>
      </x:c>
      <x:c r="E122" s="10" t="n">
        <x:v>1413</x:v>
      </x:c>
      <x:c r="F122" s="10" t="n">
        <x:v>12.16</x:v>
      </x:c>
      <x:c r="G122" s="10" t="n">
        <x:v>5.96</x:v>
      </x:c>
      <x:c r="H122" s="10" t="n">
        <x:v>1273</x:v>
      </x:c>
      <x:c r="I122" s="10" t="n">
        <x:v>12.27</x:v>
      </x:c>
      <x:c r="J122" s="10" t="n">
        <x:v>6.65</x:v>
      </x:c>
      <x:c r="K122" s="10" t="n">
        <x:v>17182.08</x:v>
      </x:c>
      <x:c r="L122" s="10" t="n">
        <x:v>15619.71</x:v>
      </x:c>
      <x:c r="M122" s="10" t="n">
        <x:v>8421.48</x:v>
      </x:c>
      <x:c r="N122" s="10" t="n">
        <x:v>8465.45</x:v>
      </x:c>
    </x:row>
    <x:row r="123">
      <x:c r="A123" t="str">
        <x:v>2025-07</x:v>
      </x:c>
      <x:c r="B123" t="str">
        <x:v>AT-002</x:v>
      </x:c>
      <x:c r="C123" t="str">
        <x:v>Home Essentials</x:v>
      </x:c>
      <x:c r="D123" t="str">
        <x:v>Home Essentials Product 2</x:v>
      </x:c>
      <x:c r="E123" s="10" t="n">
        <x:v>1569</x:v>
      </x:c>
      <x:c r="F123" s="10" t="n">
        <x:v>15.71</x:v>
      </x:c>
      <x:c r="G123" s="10" t="n">
        <x:v>7.89</x:v>
      </x:c>
      <x:c r="H123" s="10" t="n">
        <x:v>1749</x:v>
      </x:c>
      <x:c r="I123" s="10" t="n">
        <x:v>14.93</x:v>
      </x:c>
      <x:c r="J123" s="10" t="n">
        <x:v>8.61</x:v>
      </x:c>
      <x:c r="K123" s="10" t="n">
        <x:v>24648.99</x:v>
      </x:c>
      <x:c r="L123" s="10" t="n">
        <x:v>26112.57</x:v>
      </x:c>
      <x:c r="M123" s="10" t="n">
        <x:v>12379.41</x:v>
      </x:c>
      <x:c r="N123" s="10" t="n">
        <x:v>15058.89</x:v>
      </x:c>
    </x:row>
    <x:row r="124">
      <x:c r="A124" t="str">
        <x:v>2025-07</x:v>
      </x:c>
      <x:c r="B124" t="str">
        <x:v>AT-003</x:v>
      </x:c>
      <x:c r="C124" t="str">
        <x:v>Home Essentials</x:v>
      </x:c>
      <x:c r="D124" t="str">
        <x:v>Home Essentials Product 3</x:v>
      </x:c>
      <x:c r="E124" s="10" t="n">
        <x:v>1669</x:v>
      </x:c>
      <x:c r="F124" s="10" t="n">
        <x:v>19.26</x:v>
      </x:c>
      <x:c r="G124" s="10" t="n">
        <x:v>9.9</x:v>
      </x:c>
      <x:c r="H124" s="10" t="n">
        <x:v>1909</x:v>
      </x:c>
      <x:c r="I124" s="10" t="n">
        <x:v>19.01</x:v>
      </x:c>
      <x:c r="J124" s="10" t="n">
        <x:v>10.95</x:v>
      </x:c>
      <x:c r="K124" s="10" t="n">
        <x:v>32144.94</x:v>
      </x:c>
      <x:c r="L124" s="10" t="n">
        <x:v>36290.09</x:v>
      </x:c>
      <x:c r="M124" s="10" t="n">
        <x:v>16523.1</x:v>
      </x:c>
      <x:c r="N124" s="10" t="n">
        <x:v>20903.55</x:v>
      </x:c>
    </x:row>
    <x:row r="125">
      <x:c r="A125" t="str">
        <x:v>2025-07</x:v>
      </x:c>
      <x:c r="B125" t="str">
        <x:v>AT-004</x:v>
      </x:c>
      <x:c r="C125" t="str">
        <x:v>Home Essentials</x:v>
      </x:c>
      <x:c r="D125" t="str">
        <x:v>Home Essentials Product 4</x:v>
      </x:c>
      <x:c r="E125" s="10" t="n">
        <x:v>1804</x:v>
      </x:c>
      <x:c r="F125" s="10" t="n">
        <x:v>22.81</x:v>
      </x:c>
      <x:c r="G125" s="10" t="n">
        <x:v>12</x:v>
      </x:c>
      <x:c r="H125" s="10" t="n">
        <x:v>1630</x:v>
      </x:c>
      <x:c r="I125" s="10" t="n">
        <x:v>22.52</x:v>
      </x:c>
      <x:c r="J125" s="10" t="n">
        <x:v>13.6</x:v>
      </x:c>
      <x:c r="K125" s="10" t="n">
        <x:v>41149.24</x:v>
      </x:c>
      <x:c r="L125" s="10" t="n">
        <x:v>36707.6</x:v>
      </x:c>
      <x:c r="M125" s="10" t="n">
        <x:v>21648</x:v>
      </x:c>
      <x:c r="N125" s="10" t="n">
        <x:v>22168</x:v>
      </x:c>
    </x:row>
    <x:row r="126">
      <x:c r="A126" t="str">
        <x:v>2025-07</x:v>
      </x:c>
      <x:c r="B126" t="str">
        <x:v>AT-005</x:v>
      </x:c>
      <x:c r="C126" t="str">
        <x:v>Home Essentials</x:v>
      </x:c>
      <x:c r="D126" t="str">
        <x:v>Home Essentials Product 5</x:v>
      </x:c>
      <x:c r="E126" s="10" t="n">
        <x:v>1894</x:v>
      </x:c>
      <x:c r="F126" s="10" t="n">
        <x:v>26.35</x:v>
      </x:c>
      <x:c r="G126" s="10" t="n">
        <x:v>14.18</x:v>
      </x:c>
      <x:c r="H126" s="10" t="n">
        <x:v>1749</x:v>
      </x:c>
      <x:c r="I126" s="10" t="n">
        <x:v>24.93</x:v>
      </x:c>
      <x:c r="J126" s="10" t="n">
        <x:v>15.31</x:v>
      </x:c>
      <x:c r="K126" s="10" t="n">
        <x:v>49906.9</x:v>
      </x:c>
      <x:c r="L126" s="10" t="n">
        <x:v>43602.57</x:v>
      </x:c>
      <x:c r="M126" s="10" t="n">
        <x:v>26856.92</x:v>
      </x:c>
      <x:c r="N126" s="10" t="n">
        <x:v>26777.19</x:v>
      </x:c>
    </x:row>
    <x:row r="127">
      <x:c r="A127" t="str">
        <x:v>2025-07</x:v>
      </x:c>
      <x:c r="B127" t="str">
        <x:v>AT-006</x:v>
      </x:c>
      <x:c r="C127" t="str">
        <x:v>Personal Care</x:v>
      </x:c>
      <x:c r="D127" t="str">
        <x:v>Personal Care Product 1</x:v>
      </x:c>
      <x:c r="E127" s="10" t="n">
        <x:v>1350</x:v>
      </x:c>
      <x:c r="F127" s="10" t="n">
        <x:v>20.27</x:v>
      </x:c>
      <x:c r="G127" s="10" t="n">
        <x:v>10.64</x:v>
      </x:c>
      <x:c r="H127" s="10" t="n">
        <x:v>1537</x:v>
      </x:c>
      <x:c r="I127" s="10" t="n">
        <x:v>19.46</x:v>
      </x:c>
      <x:c r="J127" s="10" t="n">
        <x:v>11.91</x:v>
      </x:c>
      <x:c r="K127" s="10" t="n">
        <x:v>27364.5</x:v>
      </x:c>
      <x:c r="L127" s="10" t="n">
        <x:v>29910.02</x:v>
      </x:c>
      <x:c r="M127" s="10" t="n">
        <x:v>14364</x:v>
      </x:c>
      <x:c r="N127" s="10" t="n">
        <x:v>18305.67</x:v>
      </x:c>
    </x:row>
    <x:row r="128">
      <x:c r="A128" t="str">
        <x:v>2025-07</x:v>
      </x:c>
      <x:c r="B128" t="str">
        <x:v>AT-007</x:v>
      </x:c>
      <x:c r="C128" t="str">
        <x:v>Personal Care</x:v>
      </x:c>
      <x:c r="D128" t="str">
        <x:v>Personal Care Product 2</x:v>
      </x:c>
      <x:c r="E128" s="10" t="n">
        <x:v>1424</x:v>
      </x:c>
      <x:c r="F128" s="10" t="n">
        <x:v>23.82</x:v>
      </x:c>
      <x:c r="G128" s="10" t="n">
        <x:v>12.79</x:v>
      </x:c>
      <x:c r="H128" s="10" t="n">
        <x:v>1320</x:v>
      </x:c>
      <x:c r="I128" s="10" t="n">
        <x:v>23.16</x:v>
      </x:c>
      <x:c r="J128" s="10" t="n">
        <x:v>13.62</x:v>
      </x:c>
      <x:c r="K128" s="10" t="n">
        <x:v>33919.68</x:v>
      </x:c>
      <x:c r="L128" s="10" t="n">
        <x:v>30571.2</x:v>
      </x:c>
      <x:c r="M128" s="10" t="n">
        <x:v>18212.96</x:v>
      </x:c>
      <x:c r="N128" s="10" t="n">
        <x:v>17978.4</x:v>
      </x:c>
    </x:row>
    <x:row r="129">
      <x:c r="A129" t="str">
        <x:v>2025-07</x:v>
      </x:c>
      <x:c r="B129" t="str">
        <x:v>AT-008</x:v>
      </x:c>
      <x:c r="C129" t="str">
        <x:v>Personal Care</x:v>
      </x:c>
      <x:c r="D129" t="str">
        <x:v>Personal Care Product 3</x:v>
      </x:c>
      <x:c r="E129" s="10" t="n">
        <x:v>1537</x:v>
      </x:c>
      <x:c r="F129" s="10" t="n">
        <x:v>27.37</x:v>
      </x:c>
      <x:c r="G129" s="10" t="n">
        <x:v>15.03</x:v>
      </x:c>
      <x:c r="H129" s="10" t="n">
        <x:v>1739</x:v>
      </x:c>
      <x:c r="I129" s="10" t="n">
        <x:v>27.98</x:v>
      </x:c>
      <x:c r="J129" s="10" t="n">
        <x:v>16.59</x:v>
      </x:c>
      <x:c r="K129" s="10" t="n">
        <x:v>42067.69</x:v>
      </x:c>
      <x:c r="L129" s="10" t="n">
        <x:v>48657.22</x:v>
      </x:c>
      <x:c r="M129" s="10" t="n">
        <x:v>23101.11</x:v>
      </x:c>
      <x:c r="N129" s="10" t="n">
        <x:v>28850.01</x:v>
      </x:c>
    </x:row>
    <x:row r="130">
      <x:c r="A130" t="str">
        <x:v>2025-07</x:v>
      </x:c>
      <x:c r="B130" t="str">
        <x:v>AT-009</x:v>
      </x:c>
      <x:c r="C130" t="str">
        <x:v>Personal Care</x:v>
      </x:c>
      <x:c r="D130" t="str">
        <x:v>Personal Care Product 4</x:v>
      </x:c>
      <x:c r="E130" s="10" t="n">
        <x:v>1709</x:v>
      </x:c>
      <x:c r="F130" s="10" t="n">
        <x:v>30.92</x:v>
      </x:c>
      <x:c r="G130" s="10" t="n">
        <x:v>17.35</x:v>
      </x:c>
      <x:c r="H130" s="10" t="n">
        <x:v>1801</x:v>
      </x:c>
      <x:c r="I130" s="10" t="n">
        <x:v>30.51</x:v>
      </x:c>
      <x:c r="J130" s="10" t="n">
        <x:v>19.2</x:v>
      </x:c>
      <x:c r="K130" s="10" t="n">
        <x:v>52842.28</x:v>
      </x:c>
      <x:c r="L130" s="10" t="n">
        <x:v>54948.51</x:v>
      </x:c>
      <x:c r="M130" s="10" t="n">
        <x:v>29651.15</x:v>
      </x:c>
      <x:c r="N130" s="10" t="n">
        <x:v>34579.2</x:v>
      </x:c>
    </x:row>
    <x:row r="131">
      <x:c r="A131" t="str">
        <x:v>2025-07</x:v>
      </x:c>
      <x:c r="B131" t="str">
        <x:v>AT-010</x:v>
      </x:c>
      <x:c r="C131" t="str">
        <x:v>Personal Care</x:v>
      </x:c>
      <x:c r="D131" t="str">
        <x:v>Personal Care Product 5</x:v>
      </x:c>
      <x:c r="E131" s="10" t="n">
        <x:v>1830</x:v>
      </x:c>
      <x:c r="F131" s="10" t="n">
        <x:v>34.46</x:v>
      </x:c>
      <x:c r="G131" s="10" t="n">
        <x:v>19.75</x:v>
      </x:c>
      <x:c r="H131" s="10" t="n">
        <x:v>1843</x:v>
      </x:c>
      <x:c r="I131" s="10" t="n">
        <x:v>33.64</x:v>
      </x:c>
      <x:c r="J131" s="10" t="n">
        <x:v>21.44</x:v>
      </x:c>
      <x:c r="K131" s="10" t="n">
        <x:v>63061.8</x:v>
      </x:c>
      <x:c r="L131" s="10" t="n">
        <x:v>61998.52</x:v>
      </x:c>
      <x:c r="M131" s="10" t="n">
        <x:v>36142.5</x:v>
      </x:c>
      <x:c r="N131" s="10" t="n">
        <x:v>39513.92</x:v>
      </x:c>
    </x:row>
    <x:row r="132">
      <x:c r="A132" t="str">
        <x:v>2025-07</x:v>
      </x:c>
      <x:c r="B132" t="str">
        <x:v>AT-011</x:v>
      </x:c>
      <x:c r="C132" t="str">
        <x:v>Office Supplies</x:v>
      </x:c>
      <x:c r="D132" t="str">
        <x:v>Office Supplies Product 1</x:v>
      </x:c>
      <x:c r="E132" s="10" t="n">
        <x:v>1246</x:v>
      </x:c>
      <x:c r="F132" s="10" t="n">
        <x:v>28.38</x:v>
      </x:c>
      <x:c r="G132" s="10" t="n">
        <x:v>15.89</x:v>
      </x:c>
      <x:c r="H132" s="10" t="n">
        <x:v>1385</x:v>
      </x:c>
      <x:c r="I132" s="10" t="n">
        <x:v>28.52</x:v>
      </x:c>
      <x:c r="J132" s="10" t="n">
        <x:v>16.75</x:v>
      </x:c>
      <x:c r="K132" s="10" t="n">
        <x:v>35361.48</x:v>
      </x:c>
      <x:c r="L132" s="10" t="n">
        <x:v>39500.2</x:v>
      </x:c>
      <x:c r="M132" s="10" t="n">
        <x:v>19798.94</x:v>
      </x:c>
      <x:c r="N132" s="10" t="n">
        <x:v>23198.75</x:v>
      </x:c>
    </x:row>
    <x:row r="133">
      <x:c r="A133" t="str">
        <x:v>2025-07</x:v>
      </x:c>
      <x:c r="B133" t="str">
        <x:v>AT-012</x:v>
      </x:c>
      <x:c r="C133" t="str">
        <x:v>Office Supplies</x:v>
      </x:c>
      <x:c r="D133" t="str">
        <x:v>Office Supplies Product 2</x:v>
      </x:c>
      <x:c r="E133" s="10" t="n">
        <x:v>1337</x:v>
      </x:c>
      <x:c r="F133" s="10" t="n">
        <x:v>31.93</x:v>
      </x:c>
      <x:c r="G133" s="10" t="n">
        <x:v>18.26</x:v>
      </x:c>
      <x:c r="H133" s="10" t="n">
        <x:v>1197</x:v>
      </x:c>
      <x:c r="I133" s="10" t="n">
        <x:v>32.72</x:v>
      </x:c>
      <x:c r="J133" s="10" t="n">
        <x:v>19.71</x:v>
      </x:c>
      <x:c r="K133" s="10" t="n">
        <x:v>42690.41</x:v>
      </x:c>
      <x:c r="L133" s="10" t="n">
        <x:v>39165.84</x:v>
      </x:c>
      <x:c r="M133" s="10" t="n">
        <x:v>24413.62</x:v>
      </x:c>
      <x:c r="N133" s="10" t="n">
        <x:v>23592.87</x:v>
      </x:c>
    </x:row>
    <x:row r="134">
      <x:c r="A134" t="str">
        <x:v>2025-07</x:v>
      </x:c>
      <x:c r="B134" t="str">
        <x:v>AT-013</x:v>
      </x:c>
      <x:c r="C134" t="str">
        <x:v>Office Supplies</x:v>
      </x:c>
      <x:c r="D134" t="str">
        <x:v>Office Supplies Product 3</x:v>
      </x:c>
      <x:c r="E134" s="10" t="n">
        <x:v>1451</x:v>
      </x:c>
      <x:c r="F134" s="10" t="n">
        <x:v>35.48</x:v>
      </x:c>
      <x:c r="G134" s="10" t="n">
        <x:v>20.72</x:v>
      </x:c>
      <x:c r="H134" s="10" t="n">
        <x:v>1599</x:v>
      </x:c>
      <x:c r="I134" s="10" t="n">
        <x:v>33.83</x:v>
      </x:c>
      <x:c r="J134" s="10" t="n">
        <x:v>23.1</x:v>
      </x:c>
      <x:c r="K134" s="10" t="n">
        <x:v>51481.48</x:v>
      </x:c>
      <x:c r="L134" s="10" t="n">
        <x:v>54094.17</x:v>
      </x:c>
      <x:c r="M134" s="10" t="n">
        <x:v>30064.72</x:v>
      </x:c>
      <x:c r="N134" s="10" t="n">
        <x:v>36936.9</x:v>
      </x:c>
    </x:row>
    <x:row r="135">
      <x:c r="A135" t="str">
        <x:v>2025-07</x:v>
      </x:c>
      <x:c r="B135" t="str">
        <x:v>AT-014</x:v>
      </x:c>
      <x:c r="C135" t="str">
        <x:v>Office Supplies</x:v>
      </x:c>
      <x:c r="D135" t="str">
        <x:v>Office Supplies Product 4</x:v>
      </x:c>
      <x:c r="E135" s="10" t="n">
        <x:v>1638</x:v>
      </x:c>
      <x:c r="F135" s="10" t="n">
        <x:v>39.02</x:v>
      </x:c>
      <x:c r="G135" s="10" t="n">
        <x:v>23.26</x:v>
      </x:c>
      <x:c r="H135" s="10" t="n">
        <x:v>1716</x:v>
      </x:c>
      <x:c r="I135" s="10" t="n">
        <x:v>39.43</x:v>
      </x:c>
      <x:c r="J135" s="10" t="n">
        <x:v>24.5</x:v>
      </x:c>
      <x:c r="K135" s="10" t="n">
        <x:v>63914.76</x:v>
      </x:c>
      <x:c r="L135" s="10" t="n">
        <x:v>67661.88</x:v>
      </x:c>
      <x:c r="M135" s="10" t="n">
        <x:v>38099.88</x:v>
      </x:c>
      <x:c r="N135" s="10" t="n">
        <x:v>42042</x:v>
      </x:c>
    </x:row>
    <x:row r="136">
      <x:c r="A136" t="str">
        <x:v>2025-07</x:v>
      </x:c>
      <x:c r="B136" t="str">
        <x:v>AT-015</x:v>
      </x:c>
      <x:c r="C136" t="str">
        <x:v>Office Supplies</x:v>
      </x:c>
      <x:c r="D136" t="str">
        <x:v>Office Supplies Product 5</x:v>
      </x:c>
      <x:c r="E136" s="10" t="n">
        <x:v>1746</x:v>
      </x:c>
      <x:c r="F136" s="10" t="n">
        <x:v>42.57</x:v>
      </x:c>
      <x:c r="G136" s="10" t="n">
        <x:v>25.88</x:v>
      </x:c>
      <x:c r="H136" s="10" t="n">
        <x:v>1503</x:v>
      </x:c>
      <x:c r="I136" s="10" t="n">
        <x:v>42.94</x:v>
      </x:c>
      <x:c r="J136" s="10" t="n">
        <x:v>28.22</x:v>
      </x:c>
      <x:c r="K136" s="10" t="n">
        <x:v>74327.22</x:v>
      </x:c>
      <x:c r="L136" s="10" t="n">
        <x:v>64538.82</x:v>
      </x:c>
      <x:c r="M136" s="10" t="n">
        <x:v>45186.48</x:v>
      </x:c>
      <x:c r="N136" s="10" t="n">
        <x:v>42414.66</x:v>
      </x:c>
    </x:row>
    <x:row r="137">
      <x:c r="A137" t="str">
        <x:v>2025-07</x:v>
      </x:c>
      <x:c r="B137" t="str">
        <x:v>AT-016</x:v>
      </x:c>
      <x:c r="C137" t="str">
        <x:v>Lifestyle Accessories</x:v>
      </x:c>
      <x:c r="D137" t="str">
        <x:v>Lifestyle Accessories Product 1</x:v>
      </x:c>
      <x:c r="E137" s="10" t="n">
        <x:v>1136</x:v>
      </x:c>
      <x:c r="F137" s="10" t="n">
        <x:v>36.49</x:v>
      </x:c>
      <x:c r="G137" s="10" t="n">
        <x:v>21.71</x:v>
      </x:c>
      <x:c r="H137" s="10" t="n">
        <x:v>996</x:v>
      </x:c>
      <x:c r="I137" s="10" t="n">
        <x:v>35.75</x:v>
      </x:c>
      <x:c r="J137" s="10" t="n">
        <x:v>23.29</x:v>
      </x:c>
      <x:c r="K137" s="10" t="n">
        <x:v>41452.64</x:v>
      </x:c>
      <x:c r="L137" s="10" t="n">
        <x:v>35607</x:v>
      </x:c>
      <x:c r="M137" s="10" t="n">
        <x:v>24662.56</x:v>
      </x:c>
      <x:c r="N137" s="10" t="n">
        <x:v>23196.84</x:v>
      </x:c>
    </x:row>
    <x:row r="138">
      <x:c r="A138" t="str">
        <x:v>2025-07</x:v>
      </x:c>
      <x:c r="B138" t="str">
        <x:v>AT-017</x:v>
      </x:c>
      <x:c r="C138" t="str">
        <x:v>Lifestyle Accessories</x:v>
      </x:c>
      <x:c r="D138" t="str">
        <x:v>Lifestyle Accessories Product 2</x:v>
      </x:c>
      <x:c r="E138" s="10" t="n">
        <x:v>1246</x:v>
      </x:c>
      <x:c r="F138" s="10" t="n">
        <x:v>40.04</x:v>
      </x:c>
      <x:c r="G138" s="10" t="n">
        <x:v>24.3</x:v>
      </x:c>
      <x:c r="H138" s="10" t="n">
        <x:v>1400</x:v>
      </x:c>
      <x:c r="I138" s="10" t="n">
        <x:v>39.03</x:v>
      </x:c>
      <x:c r="J138" s="10" t="n">
        <x:v>26.83</x:v>
      </x:c>
      <x:c r="K138" s="10" t="n">
        <x:v>49889.84</x:v>
      </x:c>
      <x:c r="L138" s="10" t="n">
        <x:v>54642</x:v>
      </x:c>
      <x:c r="M138" s="10" t="n">
        <x:v>30277.8</x:v>
      </x:c>
      <x:c r="N138" s="10" t="n">
        <x:v>37562</x:v>
      </x:c>
    </x:row>
    <x:row r="139">
      <x:c r="A139" t="str">
        <x:v>2025-07</x:v>
      </x:c>
      <x:c r="B139" t="str">
        <x:v>AT-018</x:v>
      </x:c>
      <x:c r="C139" t="str">
        <x:v>Lifestyle Accessories</x:v>
      </x:c>
      <x:c r="D139" t="str">
        <x:v>Lifestyle Accessories Product 3</x:v>
      </x:c>
      <x:c r="E139" s="10" t="n">
        <x:v>1419</x:v>
      </x:c>
      <x:c r="F139" s="10" t="n">
        <x:v>43.59</x:v>
      </x:c>
      <x:c r="G139" s="10" t="n">
        <x:v>26.98</x:v>
      </x:c>
      <x:c r="H139" s="10" t="n">
        <x:v>1223</x:v>
      </x:c>
      <x:c r="I139" s="10" t="n">
        <x:v>44.5</x:v>
      </x:c>
      <x:c r="J139" s="10" t="n">
        <x:v>30.27</x:v>
      </x:c>
      <x:c r="K139" s="10" t="n">
        <x:v>61854.21</x:v>
      </x:c>
      <x:c r="L139" s="10" t="n">
        <x:v>54423.5</x:v>
      </x:c>
      <x:c r="M139" s="10" t="n">
        <x:v>38284.62</x:v>
      </x:c>
      <x:c r="N139" s="10" t="n">
        <x:v>37020.21</x:v>
      </x:c>
    </x:row>
    <x:row r="140">
      <x:c r="A140" t="str">
        <x:v>2025-07</x:v>
      </x:c>
      <x:c r="B140" t="str">
        <x:v>AT-019</x:v>
      </x:c>
      <x:c r="C140" t="str">
        <x:v>Lifestyle Accessories</x:v>
      </x:c>
      <x:c r="D140" t="str">
        <x:v>Lifestyle Accessories Product 4</x:v>
      </x:c>
      <x:c r="E140" s="10" t="n">
        <x:v>1516</x:v>
      </x:c>
      <x:c r="F140" s="10" t="n">
        <x:v>47.13</x:v>
      </x:c>
      <x:c r="G140" s="10" t="n">
        <x:v>29.74</x:v>
      </x:c>
      <x:c r="H140" s="10" t="n">
        <x:v>1575</x:v>
      </x:c>
      <x:c r="I140" s="10" t="n">
        <x:v>46.18</x:v>
      </x:c>
      <x:c r="J140" s="10" t="n">
        <x:v>31.3</x:v>
      </x:c>
      <x:c r="K140" s="10" t="n">
        <x:v>71449.08</x:v>
      </x:c>
      <x:c r="L140" s="10" t="n">
        <x:v>72733.5</x:v>
      </x:c>
      <x:c r="M140" s="10" t="n">
        <x:v>45085.84</x:v>
      </x:c>
      <x:c r="N140" s="10" t="n">
        <x:v>49297.5</x:v>
      </x:c>
    </x:row>
    <x:row r="141">
      <x:c r="A141" t="str">
        <x:v>2025-07</x:v>
      </x:c>
      <x:c r="B141" t="str">
        <x:v>AT-020</x:v>
      </x:c>
      <x:c r="C141" t="str">
        <x:v>Lifestyle Accessories</x:v>
      </x:c>
      <x:c r="D141" t="str">
        <x:v>Lifestyle Accessories Product 5</x:v>
      </x:c>
      <x:c r="E141" s="10" t="n">
        <x:v>1633</x:v>
      </x:c>
      <x:c r="F141" s="10" t="n">
        <x:v>50.68</x:v>
      </x:c>
      <x:c r="G141" s="10" t="n">
        <x:v>32.59</x:v>
      </x:c>
      <x:c r="H141" s="10" t="n">
        <x:v>1597</x:v>
      </x:c>
      <x:c r="I141" s="10" t="n">
        <x:v>49.72</x:v>
      </x:c>
      <x:c r="J141" s="10" t="n">
        <x:v>35.96</x:v>
      </x:c>
      <x:c r="K141" s="10" t="n">
        <x:v>82760.44</x:v>
      </x:c>
      <x:c r="L141" s="10" t="n">
        <x:v>79402.84</x:v>
      </x:c>
      <x:c r="M141" s="10" t="n">
        <x:v>53219.47</x:v>
      </x:c>
      <x:c r="N141" s="10" t="n">
        <x:v>57428.12</x:v>
      </x:c>
    </x:row>
    <x:row r="142">
      <x:c r="A142" t="str">
        <x:v>2025-08</x:v>
      </x:c>
      <x:c r="B142" t="str">
        <x:v>AT-001</x:v>
      </x:c>
      <x:c r="C142" t="str">
        <x:v>Home Essentials</x:v>
      </x:c>
      <x:c r="D142" t="str">
        <x:v>Home Essentials Product 1</x:v>
      </x:c>
      <x:c r="E142" s="10" t="n">
        <x:v>1451</x:v>
      </x:c>
      <x:c r="F142" s="10" t="n">
        <x:v>12.19</x:v>
      </x:c>
      <x:c r="G142" s="10" t="n">
        <x:v>5.97</x:v>
      </x:c>
      <x:c r="H142" s="10" t="n">
        <x:v>1489</x:v>
      </x:c>
      <x:c r="I142" s="10" t="n">
        <x:v>12.41</x:v>
      </x:c>
      <x:c r="J142" s="10" t="n">
        <x:v>6.62</x:v>
      </x:c>
      <x:c r="K142" s="10" t="n">
        <x:v>17687.69</x:v>
      </x:c>
      <x:c r="L142" s="10" t="n">
        <x:v>18478.49</x:v>
      </x:c>
      <x:c r="M142" s="10" t="n">
        <x:v>8662.47</x:v>
      </x:c>
      <x:c r="N142" s="10" t="n">
        <x:v>9857.18</x:v>
      </x:c>
    </x:row>
    <x:row r="143">
      <x:c r="A143" t="str">
        <x:v>2025-08</x:v>
      </x:c>
      <x:c r="B143" t="str">
        <x:v>AT-002</x:v>
      </x:c>
      <x:c r="C143" t="str">
        <x:v>Home Essentials</x:v>
      </x:c>
      <x:c r="D143" t="str">
        <x:v>Home Essentials Product 2</x:v>
      </x:c>
      <x:c r="E143" s="10" t="n">
        <x:v>1551</x:v>
      </x:c>
      <x:c r="F143" s="10" t="n">
        <x:v>15.75</x:v>
      </x:c>
      <x:c r="G143" s="10" t="n">
        <x:v>7.91</x:v>
      </x:c>
      <x:c r="H143" s="10" t="n">
        <x:v>1445</x:v>
      </x:c>
      <x:c r="I143" s="10" t="n">
        <x:v>16.09</x:v>
      </x:c>
      <x:c r="J143" s="10" t="n">
        <x:v>8.88</x:v>
      </x:c>
      <x:c r="K143" s="10" t="n">
        <x:v>24428.25</x:v>
      </x:c>
      <x:c r="L143" s="10" t="n">
        <x:v>23250.05</x:v>
      </x:c>
      <x:c r="M143" s="10" t="n">
        <x:v>12268.41</x:v>
      </x:c>
      <x:c r="N143" s="10" t="n">
        <x:v>12831.6</x:v>
      </x:c>
    </x:row>
    <x:row r="144">
      <x:c r="A144" t="str">
        <x:v>2025-08</x:v>
      </x:c>
      <x:c r="B144" t="str">
        <x:v>AT-003</x:v>
      </x:c>
      <x:c r="C144" t="str">
        <x:v>Home Essentials</x:v>
      </x:c>
      <x:c r="D144" t="str">
        <x:v>Home Essentials Product 3</x:v>
      </x:c>
      <x:c r="E144" s="10" t="n">
        <x:v>1736</x:v>
      </x:c>
      <x:c r="F144" s="10" t="n">
        <x:v>19.3</x:v>
      </x:c>
      <x:c r="G144" s="10" t="n">
        <x:v>9.92</x:v>
      </x:c>
      <x:c r="H144" s="10" t="n">
        <x:v>1888</x:v>
      </x:c>
      <x:c r="I144" s="10" t="n">
        <x:v>19.39</x:v>
      </x:c>
      <x:c r="J144" s="10" t="n">
        <x:v>11.19</x:v>
      </x:c>
      <x:c r="K144" s="10" t="n">
        <x:v>33504.8</x:v>
      </x:c>
      <x:c r="L144" s="10" t="n">
        <x:v>36608.32</x:v>
      </x:c>
      <x:c r="M144" s="10" t="n">
        <x:v>17221.12</x:v>
      </x:c>
      <x:c r="N144" s="10" t="n">
        <x:v>21126.72</x:v>
      </x:c>
    </x:row>
    <x:row r="145">
      <x:c r="A145" t="str">
        <x:v>2025-08</x:v>
      </x:c>
      <x:c r="B145" t="str">
        <x:v>AT-004</x:v>
      </x:c>
      <x:c r="C145" t="str">
        <x:v>Home Essentials</x:v>
      </x:c>
      <x:c r="D145" t="str">
        <x:v>Home Essentials Product 4</x:v>
      </x:c>
      <x:c r="E145" s="10" t="n">
        <x:v>1854</x:v>
      </x:c>
      <x:c r="F145" s="10" t="n">
        <x:v>22.86</x:v>
      </x:c>
      <x:c r="G145" s="10" t="n">
        <x:v>12.02</x:v>
      </x:c>
      <x:c r="H145" s="10" t="n">
        <x:v>2056</x:v>
      </x:c>
      <x:c r="I145" s="10" t="n">
        <x:v>22.52</x:v>
      </x:c>
      <x:c r="J145" s="10" t="n">
        <x:v>13.6</x:v>
      </x:c>
      <x:c r="K145" s="10" t="n">
        <x:v>42382.44</x:v>
      </x:c>
      <x:c r="L145" s="10" t="n">
        <x:v>46301.12</x:v>
      </x:c>
      <x:c r="M145" s="10" t="n">
        <x:v>22285.08</x:v>
      </x:c>
      <x:c r="N145" s="10" t="n">
        <x:v>27961.6</x:v>
      </x:c>
    </x:row>
    <x:row r="146">
      <x:c r="A146" t="str">
        <x:v>2025-08</x:v>
      </x:c>
      <x:c r="B146" t="str">
        <x:v>AT-005</x:v>
      </x:c>
      <x:c r="C146" t="str">
        <x:v>Home Essentials</x:v>
      </x:c>
      <x:c r="D146" t="str">
        <x:v>Home Essentials Product 5</x:v>
      </x:c>
      <x:c r="E146" s="10" t="n">
        <x:v>1993</x:v>
      </x:c>
      <x:c r="F146" s="10" t="n">
        <x:v>26.41</x:v>
      </x:c>
      <x:c r="G146" s="10" t="n">
        <x:v>14.21</x:v>
      </x:c>
      <x:c r="H146" s="10" t="n">
        <x:v>2151</x:v>
      </x:c>
      <x:c r="I146" s="10" t="n">
        <x:v>27.36</x:v>
      </x:c>
      <x:c r="J146" s="10" t="n">
        <x:v>15.54</x:v>
      </x:c>
      <x:c r="K146" s="10" t="n">
        <x:v>52635.13</x:v>
      </x:c>
      <x:c r="L146" s="10" t="n">
        <x:v>58851.36</x:v>
      </x:c>
      <x:c r="M146" s="10" t="n">
        <x:v>28320.53</x:v>
      </x:c>
      <x:c r="N146" s="10" t="n">
        <x:v>33426.54</x:v>
      </x:c>
    </x:row>
    <x:row r="147">
      <x:c r="A147" t="str">
        <x:v>2025-08</x:v>
      </x:c>
      <x:c r="B147" t="str">
        <x:v>AT-006</x:v>
      </x:c>
      <x:c r="C147" t="str">
        <x:v>Personal Care</x:v>
      </x:c>
      <x:c r="D147" t="str">
        <x:v>Personal Care Product 1</x:v>
      </x:c>
      <x:c r="E147" s="10" t="n">
        <x:v>1341</x:v>
      </x:c>
      <x:c r="F147" s="10" t="n">
        <x:v>20.32</x:v>
      </x:c>
      <x:c r="G147" s="10" t="n">
        <x:v>10.67</x:v>
      </x:c>
      <x:c r="H147" s="10" t="n">
        <x:v>1273</x:v>
      </x:c>
      <x:c r="I147" s="10" t="n">
        <x:v>20.28</x:v>
      </x:c>
      <x:c r="J147" s="10" t="n">
        <x:v>11.66</x:v>
      </x:c>
      <x:c r="K147" s="10" t="n">
        <x:v>27249.12</x:v>
      </x:c>
      <x:c r="L147" s="10" t="n">
        <x:v>25816.44</x:v>
      </x:c>
      <x:c r="M147" s="10" t="n">
        <x:v>14308.47</x:v>
      </x:c>
      <x:c r="N147" s="10" t="n">
        <x:v>14843.18</x:v>
      </x:c>
    </x:row>
    <x:row r="148">
      <x:c r="A148" t="str">
        <x:v>2025-08</x:v>
      </x:c>
      <x:c r="B148" t="str">
        <x:v>AT-007</x:v>
      </x:c>
      <x:c r="C148" t="str">
        <x:v>Personal Care</x:v>
      </x:c>
      <x:c r="D148" t="str">
        <x:v>Personal Care Product 2</x:v>
      </x:c>
      <x:c r="E148" s="10" t="n">
        <x:v>1485</x:v>
      </x:c>
      <x:c r="F148" s="10" t="n">
        <x:v>23.87</x:v>
      </x:c>
      <x:c r="G148" s="10" t="n">
        <x:v>12.82</x:v>
      </x:c>
      <x:c r="H148" s="10" t="n">
        <x:v>1514</x:v>
      </x:c>
      <x:c r="I148" s="10" t="n">
        <x:v>24.11</x:v>
      </x:c>
      <x:c r="J148" s="10" t="n">
        <x:v>13.59</x:v>
      </x:c>
      <x:c r="K148" s="10" t="n">
        <x:v>35446.95</x:v>
      </x:c>
      <x:c r="L148" s="10" t="n">
        <x:v>36502.54</x:v>
      </x:c>
      <x:c r="M148" s="10" t="n">
        <x:v>19037.7</x:v>
      </x:c>
      <x:c r="N148" s="10" t="n">
        <x:v>20575.26</x:v>
      </x:c>
    </x:row>
    <x:row r="149">
      <x:c r="A149" t="str">
        <x:v>2025-08</x:v>
      </x:c>
      <x:c r="B149" t="str">
        <x:v>AT-008</x:v>
      </x:c>
      <x:c r="C149" t="str">
        <x:v>Personal Care</x:v>
      </x:c>
      <x:c r="D149" t="str">
        <x:v>Personal Care Product 3</x:v>
      </x:c>
      <x:c r="E149" s="10" t="n">
        <x:v>1593</x:v>
      </x:c>
      <x:c r="F149" s="10" t="n">
        <x:v>27.43</x:v>
      </x:c>
      <x:c r="G149" s="10" t="n">
        <x:v>15.06</x:v>
      </x:c>
      <x:c r="H149" s="10" t="n">
        <x:v>1578</x:v>
      </x:c>
      <x:c r="I149" s="10" t="n">
        <x:v>27.34</x:v>
      </x:c>
      <x:c r="J149" s="10" t="n">
        <x:v>16.32</x:v>
      </x:c>
      <x:c r="K149" s="10" t="n">
        <x:v>43695.99</x:v>
      </x:c>
      <x:c r="L149" s="10" t="n">
        <x:v>43142.52</x:v>
      </x:c>
      <x:c r="M149" s="10" t="n">
        <x:v>23990.58</x:v>
      </x:c>
      <x:c r="N149" s="10" t="n">
        <x:v>25752.96</x:v>
      </x:c>
    </x:row>
    <x:row r="150">
      <x:c r="A150" t="str">
        <x:v>2025-08</x:v>
      </x:c>
      <x:c r="B150" t="str">
        <x:v>AT-009</x:v>
      </x:c>
      <x:c r="C150" t="str">
        <x:v>Personal Care</x:v>
      </x:c>
      <x:c r="D150" t="str">
        <x:v>Personal Care Product 4</x:v>
      </x:c>
      <x:c r="E150" s="10" t="n">
        <x:v>1774</x:v>
      </x:c>
      <x:c r="F150" s="10" t="n">
        <x:v>30.99</x:v>
      </x:c>
      <x:c r="G150" s="10" t="n">
        <x:v>17.39</x:v>
      </x:c>
      <x:c r="H150" s="10" t="n">
        <x:v>1528</x:v>
      </x:c>
      <x:c r="I150" s="10" t="n">
        <x:v>30.14</x:v>
      </x:c>
      <x:c r="J150" s="10" t="n">
        <x:v>19.68</x:v>
      </x:c>
      <x:c r="K150" s="10" t="n">
        <x:v>54976.26</x:v>
      </x:c>
      <x:c r="L150" s="10" t="n">
        <x:v>46053.92</x:v>
      </x:c>
      <x:c r="M150" s="10" t="n">
        <x:v>30849.86</x:v>
      </x:c>
      <x:c r="N150" s="10" t="n">
        <x:v>30071.04</x:v>
      </x:c>
    </x:row>
    <x:row r="151">
      <x:c r="A151" t="str">
        <x:v>2025-08</x:v>
      </x:c>
      <x:c r="B151" t="str">
        <x:v>AT-010</x:v>
      </x:c>
      <x:c r="C151" t="str">
        <x:v>Personal Care</x:v>
      </x:c>
      <x:c r="D151" t="str">
        <x:v>Personal Care Product 5</x:v>
      </x:c>
      <x:c r="E151" s="10" t="n">
        <x:v>1850</x:v>
      </x:c>
      <x:c r="F151" s="10" t="n">
        <x:v>34.54</x:v>
      </x:c>
      <x:c r="G151" s="10" t="n">
        <x:v>19.79</x:v>
      </x:c>
      <x:c r="H151" s="10" t="n">
        <x:v>1623</x:v>
      </x:c>
      <x:c r="I151" s="10" t="n">
        <x:v>34.69</x:v>
      </x:c>
      <x:c r="J151" s="10" t="n">
        <x:v>21.11</x:v>
      </x:c>
      <x:c r="K151" s="10" t="n">
        <x:v>63899</x:v>
      </x:c>
      <x:c r="L151" s="10" t="n">
        <x:v>56301.87</x:v>
      </x:c>
      <x:c r="M151" s="10" t="n">
        <x:v>36611.5</x:v>
      </x:c>
      <x:c r="N151" s="10" t="n">
        <x:v>34261.53</x:v>
      </x:c>
    </x:row>
    <x:row r="152">
      <x:c r="A152" t="str">
        <x:v>2025-08</x:v>
      </x:c>
      <x:c r="B152" t="str">
        <x:v>AT-011</x:v>
      </x:c>
      <x:c r="C152" t="str">
        <x:v>Office Supplies</x:v>
      </x:c>
      <x:c r="D152" t="str">
        <x:v>Office Supplies Product 1</x:v>
      </x:c>
      <x:c r="E152" s="10" t="n">
        <x:v>1249</x:v>
      </x:c>
      <x:c r="F152" s="10" t="n">
        <x:v>28.45</x:v>
      </x:c>
      <x:c r="G152" s="10" t="n">
        <x:v>15.93</x:v>
      </x:c>
      <x:c r="H152" s="10" t="n">
        <x:v>1279</x:v>
      </x:c>
      <x:c r="I152" s="10" t="n">
        <x:v>29.05</x:v>
      </x:c>
      <x:c r="J152" s="10" t="n">
        <x:v>17.49</x:v>
      </x:c>
      <x:c r="K152" s="10" t="n">
        <x:v>35534.05</x:v>
      </x:c>
      <x:c r="L152" s="10" t="n">
        <x:v>37154.95</x:v>
      </x:c>
      <x:c r="M152" s="10" t="n">
        <x:v>19896.57</x:v>
      </x:c>
      <x:c r="N152" s="10" t="n">
        <x:v>22369.71</x:v>
      </x:c>
    </x:row>
    <x:row r="153">
      <x:c r="A153" t="str">
        <x:v>2025-08</x:v>
      </x:c>
      <x:c r="B153" t="str">
        <x:v>AT-012</x:v>
      </x:c>
      <x:c r="C153" t="str">
        <x:v>Office Supplies</x:v>
      </x:c>
      <x:c r="D153" t="str">
        <x:v>Office Supplies Product 2</x:v>
      </x:c>
      <x:c r="E153" s="10" t="n">
        <x:v>1404</x:v>
      </x:c>
      <x:c r="F153" s="10" t="n">
        <x:v>32</x:v>
      </x:c>
      <x:c r="G153" s="10" t="n">
        <x:v>18.3</x:v>
      </x:c>
      <x:c r="H153" s="10" t="n">
        <x:v>1276</x:v>
      </x:c>
      <x:c r="I153" s="10" t="n">
        <x:v>30.87</x:v>
      </x:c>
      <x:c r="J153" s="10" t="n">
        <x:v>20.19</x:v>
      </x:c>
      <x:c r="K153" s="10" t="n">
        <x:v>44928</x:v>
      </x:c>
      <x:c r="L153" s="10" t="n">
        <x:v>39390.12</x:v>
      </x:c>
      <x:c r="M153" s="10" t="n">
        <x:v>25693.2</x:v>
      </x:c>
      <x:c r="N153" s="10" t="n">
        <x:v>25762.44</x:v>
      </x:c>
    </x:row>
    <x:row r="154">
      <x:c r="A154" t="str">
        <x:v>2025-08</x:v>
      </x:c>
      <x:c r="B154" t="str">
        <x:v>AT-013</x:v>
      </x:c>
      <x:c r="C154" t="str">
        <x:v>Office Supplies</x:v>
      </x:c>
      <x:c r="D154" t="str">
        <x:v>Office Supplies Product 3</x:v>
      </x:c>
      <x:c r="E154" s="10" t="n">
        <x:v>1523</x:v>
      </x:c>
      <x:c r="F154" s="10" t="n">
        <x:v>35.56</x:v>
      </x:c>
      <x:c r="G154" s="10" t="n">
        <x:v>20.77</x:v>
      </x:c>
      <x:c r="H154" s="10" t="n">
        <x:v>1336</x:v>
      </x:c>
      <x:c r="I154" s="10" t="n">
        <x:v>34.12</x:v>
      </x:c>
      <x:c r="J154" s="10" t="n">
        <x:v>22.24</x:v>
      </x:c>
      <x:c r="K154" s="10" t="n">
        <x:v>54157.88</x:v>
      </x:c>
      <x:c r="L154" s="10" t="n">
        <x:v>45584.32</x:v>
      </x:c>
      <x:c r="M154" s="10" t="n">
        <x:v>31632.71</x:v>
      </x:c>
      <x:c r="N154" s="10" t="n">
        <x:v>29712.64</x:v>
      </x:c>
    </x:row>
    <x:row r="155">
      <x:c r="A155" t="str">
        <x:v>2025-08</x:v>
      </x:c>
      <x:c r="B155" t="str">
        <x:v>AT-014</x:v>
      </x:c>
      <x:c r="C155" t="str">
        <x:v>Office Supplies</x:v>
      </x:c>
      <x:c r="D155" t="str">
        <x:v>Office Supplies Product 4</x:v>
      </x:c>
      <x:c r="E155" s="10" t="n">
        <x:v>1669</x:v>
      </x:c>
      <x:c r="F155" s="10" t="n">
        <x:v>39.11</x:v>
      </x:c>
      <x:c r="G155" s="10" t="n">
        <x:v>23.31</x:v>
      </x:c>
      <x:c r="H155" s="10" t="n">
        <x:v>1781</x:v>
      </x:c>
      <x:c r="I155" s="10" t="n">
        <x:v>37.96</x:v>
      </x:c>
      <x:c r="J155" s="10" t="n">
        <x:v>25.8</x:v>
      </x:c>
      <x:c r="K155" s="10" t="n">
        <x:v>65274.59</x:v>
      </x:c>
      <x:c r="L155" s="10" t="n">
        <x:v>67606.76</x:v>
      </x:c>
      <x:c r="M155" s="10" t="n">
        <x:v>38904.39</x:v>
      </x:c>
      <x:c r="N155" s="10" t="n">
        <x:v>45949.8</x:v>
      </x:c>
    </x:row>
    <x:row r="156">
      <x:c r="A156" t="str">
        <x:v>2025-08</x:v>
      </x:c>
      <x:c r="B156" t="str">
        <x:v>AT-015</x:v>
      </x:c>
      <x:c r="C156" t="str">
        <x:v>Office Supplies</x:v>
      </x:c>
      <x:c r="D156" t="str">
        <x:v>Office Supplies Product 5</x:v>
      </x:c>
      <x:c r="E156" s="10" t="n">
        <x:v>1767</x:v>
      </x:c>
      <x:c r="F156" s="10" t="n">
        <x:v>42.67</x:v>
      </x:c>
      <x:c r="G156" s="10" t="n">
        <x:v>25.94</x:v>
      </x:c>
      <x:c r="H156" s="10" t="n">
        <x:v>1818</x:v>
      </x:c>
      <x:c r="I156" s="10" t="n">
        <x:v>44.48</x:v>
      </x:c>
      <x:c r="J156" s="10" t="n">
        <x:v>29.08</x:v>
      </x:c>
      <x:c r="K156" s="10" t="n">
        <x:v>75397.89</x:v>
      </x:c>
      <x:c r="L156" s="10" t="n">
        <x:v>80864.64</x:v>
      </x:c>
      <x:c r="M156" s="10" t="n">
        <x:v>45835.98</x:v>
      </x:c>
      <x:c r="N156" s="10" t="n">
        <x:v>52867.44</x:v>
      </x:c>
    </x:row>
    <x:row r="157">
      <x:c r="A157" t="str">
        <x:v>2025-08</x:v>
      </x:c>
      <x:c r="B157" t="str">
        <x:v>AT-016</x:v>
      </x:c>
      <x:c r="C157" t="str">
        <x:v>Lifestyle Accessories</x:v>
      </x:c>
      <x:c r="D157" t="str">
        <x:v>Lifestyle Accessories Product 1</x:v>
      </x:c>
      <x:c r="E157" s="10" t="n">
        <x:v>1177</x:v>
      </x:c>
      <x:c r="F157" s="10" t="n">
        <x:v>36.57</x:v>
      </x:c>
      <x:c r="G157" s="10" t="n">
        <x:v>21.76</x:v>
      </x:c>
      <x:c r="H157" s="10" t="n">
        <x:v>1089</x:v>
      </x:c>
      <x:c r="I157" s="10" t="n">
        <x:v>35.43</x:v>
      </x:c>
      <x:c r="J157" s="10" t="n">
        <x:v>23.7</x:v>
      </x:c>
      <x:c r="K157" s="10" t="n">
        <x:v>43042.89</x:v>
      </x:c>
      <x:c r="L157" s="10" t="n">
        <x:v>38583.27</x:v>
      </x:c>
      <x:c r="M157" s="10" t="n">
        <x:v>25611.52</x:v>
      </x:c>
      <x:c r="N157" s="10" t="n">
        <x:v>25809.3</x:v>
      </x:c>
    </x:row>
    <x:row r="158">
      <x:c r="A158" t="str">
        <x:v>2025-08</x:v>
      </x:c>
      <x:c r="B158" t="str">
        <x:v>AT-017</x:v>
      </x:c>
      <x:c r="C158" t="str">
        <x:v>Lifestyle Accessories</x:v>
      </x:c>
      <x:c r="D158" t="str">
        <x:v>Lifestyle Accessories Product 2</x:v>
      </x:c>
      <x:c r="E158" s="10" t="n">
        <x:v>1327</x:v>
      </x:c>
      <x:c r="F158" s="10" t="n">
        <x:v>40.13</x:v>
      </x:c>
      <x:c r="G158" s="10" t="n">
        <x:v>24.36</x:v>
      </x:c>
      <x:c r="H158" s="10" t="n">
        <x:v>1161</x:v>
      </x:c>
      <x:c r="I158" s="10" t="n">
        <x:v>39.19</x:v>
      </x:c>
      <x:c r="J158" s="10" t="n">
        <x:v>26.91</x:v>
      </x:c>
      <x:c r="K158" s="10" t="n">
        <x:v>53252.51</x:v>
      </x:c>
      <x:c r="L158" s="10" t="n">
        <x:v>45499.59</x:v>
      </x:c>
      <x:c r="M158" s="10" t="n">
        <x:v>32325.72</x:v>
      </x:c>
      <x:c r="N158" s="10" t="n">
        <x:v>31242.51</x:v>
      </x:c>
    </x:row>
    <x:row r="159">
      <x:c r="A159" t="str">
        <x:v>2025-08</x:v>
      </x:c>
      <x:c r="B159" t="str">
        <x:v>AT-018</x:v>
      </x:c>
      <x:c r="C159" t="str">
        <x:v>Lifestyle Accessories</x:v>
      </x:c>
      <x:c r="D159" t="str">
        <x:v>Lifestyle Accessories Product 3</x:v>
      </x:c>
      <x:c r="E159" s="10" t="n">
        <x:v>1432</x:v>
      </x:c>
      <x:c r="F159" s="10" t="n">
        <x:v>43.68</x:v>
      </x:c>
      <x:c r="G159" s="10" t="n">
        <x:v>27.04</x:v>
      </x:c>
      <x:c r="H159" s="10" t="n">
        <x:v>1285</x:v>
      </x:c>
      <x:c r="I159" s="10" t="n">
        <x:v>43.6</x:v>
      </x:c>
      <x:c r="J159" s="10" t="n">
        <x:v>30.55</x:v>
      </x:c>
      <x:c r="K159" s="10" t="n">
        <x:v>62549.76</x:v>
      </x:c>
      <x:c r="L159" s="10" t="n">
        <x:v>56026</x:v>
      </x:c>
      <x:c r="M159" s="10" t="n">
        <x:v>38721.28</x:v>
      </x:c>
      <x:c r="N159" s="10" t="n">
        <x:v>39256.75</x:v>
      </x:c>
    </x:row>
    <x:row r="160">
      <x:c r="A160" t="str">
        <x:v>2025-08</x:v>
      </x:c>
      <x:c r="B160" t="str">
        <x:v>AT-019</x:v>
      </x:c>
      <x:c r="C160" t="str">
        <x:v>Lifestyle Accessories</x:v>
      </x:c>
      <x:c r="D160" t="str">
        <x:v>Lifestyle Accessories Product 4</x:v>
      </x:c>
      <x:c r="E160" s="10" t="n">
        <x:v>1575</x:v>
      </x:c>
      <x:c r="F160" s="10" t="n">
        <x:v>47.24</x:v>
      </x:c>
      <x:c r="G160" s="10" t="n">
        <x:v>29.81</x:v>
      </x:c>
      <x:c r="H160" s="10" t="n">
        <x:v>1379</x:v>
      </x:c>
      <x:c r="I160" s="10" t="n">
        <x:v>48.92</x:v>
      </x:c>
      <x:c r="J160" s="10" t="n">
        <x:v>31.35</x:v>
      </x:c>
      <x:c r="K160" s="10" t="n">
        <x:v>74403</x:v>
      </x:c>
      <x:c r="L160" s="10" t="n">
        <x:v>67460.68</x:v>
      </x:c>
      <x:c r="M160" s="10" t="n">
        <x:v>46950.75</x:v>
      </x:c>
      <x:c r="N160" s="10" t="n">
        <x:v>43231.65</x:v>
      </x:c>
    </x:row>
    <x:row r="161">
      <x:c r="A161" t="str">
        <x:v>2025-08</x:v>
      </x:c>
      <x:c r="B161" t="str">
        <x:v>AT-020</x:v>
      </x:c>
      <x:c r="C161" t="str">
        <x:v>Lifestyle Accessories</x:v>
      </x:c>
      <x:c r="D161" t="str">
        <x:v>Lifestyle Accessories Product 5</x:v>
      </x:c>
      <x:c r="E161" s="10" t="n">
        <x:v>1653</x:v>
      </x:c>
      <x:c r="F161" s="10" t="n">
        <x:v>50.8</x:v>
      </x:c>
      <x:c r="G161" s="10" t="n">
        <x:v>32.66</x:v>
      </x:c>
      <x:c r="H161" s="10" t="n">
        <x:v>1493</x:v>
      </x:c>
      <x:c r="I161" s="10" t="n">
        <x:v>48.83</x:v>
      </x:c>
      <x:c r="J161" s="10" t="n">
        <x:v>34.38</x:v>
      </x:c>
      <x:c r="K161" s="10" t="n">
        <x:v>83972.4</x:v>
      </x:c>
      <x:c r="L161" s="10" t="n">
        <x:v>72903.19</x:v>
      </x:c>
      <x:c r="M161" s="10" t="n">
        <x:v>53986.98</x:v>
      </x:c>
      <x:c r="N161" s="10" t="n">
        <x:v>51329.34</x:v>
      </x:c>
    </x:row>
    <x:row r="162">
      <x:c r="A162" t="str">
        <x:v>2025-09</x:v>
      </x:c>
      <x:c r="B162" t="str">
        <x:v>AT-001</x:v>
      </x:c>
      <x:c r="C162" t="str">
        <x:v>Home Essentials</x:v>
      </x:c>
      <x:c r="D162" t="str">
        <x:v>Home Essentials Product 1</x:v>
      </x:c>
      <x:c r="E162" s="10" t="n">
        <x:v>1381</x:v>
      </x:c>
      <x:c r="F162" s="10" t="n">
        <x:v>12.22</x:v>
      </x:c>
      <x:c r="G162" s="10" t="n">
        <x:v>5.99</x:v>
      </x:c>
      <x:c r="H162" s="10" t="n">
        <x:v>1440</x:v>
      </x:c>
      <x:c r="I162" s="10" t="n">
        <x:v>12.31</x:v>
      </x:c>
      <x:c r="J162" s="10" t="n">
        <x:v>6.39</x:v>
      </x:c>
      <x:c r="K162" s="10" t="n">
        <x:v>16875.82</x:v>
      </x:c>
      <x:c r="L162" s="10" t="n">
        <x:v>17726.4</x:v>
      </x:c>
      <x:c r="M162" s="10" t="n">
        <x:v>8272.19</x:v>
      </x:c>
      <x:c r="N162" s="10" t="n">
        <x:v>9201.6</x:v>
      </x:c>
    </x:row>
    <x:row r="163">
      <x:c r="A163" t="str">
        <x:v>2025-09</x:v>
      </x:c>
      <x:c r="B163" t="str">
        <x:v>AT-002</x:v>
      </x:c>
      <x:c r="C163" t="str">
        <x:v>Home Essentials</x:v>
      </x:c>
      <x:c r="D163" t="str">
        <x:v>Home Essentials Product 2</x:v>
      </x:c>
      <x:c r="E163" s="10" t="n">
        <x:v>1496</x:v>
      </x:c>
      <x:c r="F163" s="10" t="n">
        <x:v>15.78</x:v>
      </x:c>
      <x:c r="G163" s="10" t="n">
        <x:v>7.92</x:v>
      </x:c>
      <x:c r="H163" s="10" t="n">
        <x:v>1678</x:v>
      </x:c>
      <x:c r="I163" s="10" t="n">
        <x:v>15.25</x:v>
      </x:c>
      <x:c r="J163" s="10" t="n">
        <x:v>8.67</x:v>
      </x:c>
      <x:c r="K163" s="10" t="n">
        <x:v>23606.88</x:v>
      </x:c>
      <x:c r="L163" s="10" t="n">
        <x:v>25589.5</x:v>
      </x:c>
      <x:c r="M163" s="10" t="n">
        <x:v>11848.32</x:v>
      </x:c>
      <x:c r="N163" s="10" t="n">
        <x:v>14548.26</x:v>
      </x:c>
    </x:row>
    <x:row r="164">
      <x:c r="A164" t="str">
        <x:v>2025-09</x:v>
      </x:c>
      <x:c r="B164" t="str">
        <x:v>AT-003</x:v>
      </x:c>
      <x:c r="C164" t="str">
        <x:v>Home Essentials</x:v>
      </x:c>
      <x:c r="D164" t="str">
        <x:v>Home Essentials Product 3</x:v>
      </x:c>
      <x:c r="E164" s="10" t="n">
        <x:v>1624</x:v>
      </x:c>
      <x:c r="F164" s="10" t="n">
        <x:v>19.35</x:v>
      </x:c>
      <x:c r="G164" s="10" t="n">
        <x:v>9.95</x:v>
      </x:c>
      <x:c r="H164" s="10" t="n">
        <x:v>1829</x:v>
      </x:c>
      <x:c r="I164" s="10" t="n">
        <x:v>19.46</x:v>
      </x:c>
      <x:c r="J164" s="10" t="n">
        <x:v>10.81</x:v>
      </x:c>
      <x:c r="K164" s="10" t="n">
        <x:v>31424.4</x:v>
      </x:c>
      <x:c r="L164" s="10" t="n">
        <x:v>35592.34</x:v>
      </x:c>
      <x:c r="M164" s="10" t="n">
        <x:v>16158.8</x:v>
      </x:c>
      <x:c r="N164" s="10" t="n">
        <x:v>19771.49</x:v>
      </x:c>
    </x:row>
    <x:row r="165">
      <x:c r="A165" t="str">
        <x:v>2025-09</x:v>
      </x:c>
      <x:c r="B165" t="str">
        <x:v>AT-004</x:v>
      </x:c>
      <x:c r="C165" t="str">
        <x:v>Home Essentials</x:v>
      </x:c>
      <x:c r="D165" t="str">
        <x:v>Home Essentials Product 4</x:v>
      </x:c>
      <x:c r="E165" s="10" t="n">
        <x:v>1802</x:v>
      </x:c>
      <x:c r="F165" s="10" t="n">
        <x:v>22.91</x:v>
      </x:c>
      <x:c r="G165" s="10" t="n">
        <x:v>12.05</x:v>
      </x:c>
      <x:c r="H165" s="10" t="n">
        <x:v>2015</x:v>
      </x:c>
      <x:c r="I165" s="10" t="n">
        <x:v>23.36</x:v>
      </x:c>
      <x:c r="J165" s="10" t="n">
        <x:v>13.01</x:v>
      </x:c>
      <x:c r="K165" s="10" t="n">
        <x:v>41283.82</x:v>
      </x:c>
      <x:c r="L165" s="10" t="n">
        <x:v>47070.4</x:v>
      </x:c>
      <x:c r="M165" s="10" t="n">
        <x:v>21714.1</x:v>
      </x:c>
      <x:c r="N165" s="10" t="n">
        <x:v>26215.15</x:v>
      </x:c>
    </x:row>
    <x:row r="166">
      <x:c r="A166" t="str">
        <x:v>2025-09</x:v>
      </x:c>
      <x:c r="B166" t="str">
        <x:v>AT-005</x:v>
      </x:c>
      <x:c r="C166" t="str">
        <x:v>Home Essentials</x:v>
      </x:c>
      <x:c r="D166" t="str">
        <x:v>Home Essentials Product 5</x:v>
      </x:c>
      <x:c r="E166" s="10" t="n">
        <x:v>1883</x:v>
      </x:c>
      <x:c r="F166" s="10" t="n">
        <x:v>26.47</x:v>
      </x:c>
      <x:c r="G166" s="10" t="n">
        <x:v>14.24</x:v>
      </x:c>
      <x:c r="H166" s="10" t="n">
        <x:v>1982</x:v>
      </x:c>
      <x:c r="I166" s="10" t="n">
        <x:v>25.63</x:v>
      </x:c>
      <x:c r="J166" s="10" t="n">
        <x:v>15.79</x:v>
      </x:c>
      <x:c r="K166" s="10" t="n">
        <x:v>49843.01</x:v>
      </x:c>
      <x:c r="L166" s="10" t="n">
        <x:v>50798.66</x:v>
      </x:c>
      <x:c r="M166" s="10" t="n">
        <x:v>26813.92</x:v>
      </x:c>
      <x:c r="N166" s="10" t="n">
        <x:v>31295.78</x:v>
      </x:c>
    </x:row>
    <x:row r="167">
      <x:c r="A167" t="str">
        <x:v>2025-09</x:v>
      </x:c>
      <x:c r="B167" t="str">
        <x:v>AT-006</x:v>
      </x:c>
      <x:c r="C167" t="str">
        <x:v>Personal Care</x:v>
      </x:c>
      <x:c r="D167" t="str">
        <x:v>Personal Care Product 1</x:v>
      </x:c>
      <x:c r="E167" s="10" t="n">
        <x:v>1322</x:v>
      </x:c>
      <x:c r="F167" s="10" t="n">
        <x:v>20.36</x:v>
      </x:c>
      <x:c r="G167" s="10" t="n">
        <x:v>10.69</x:v>
      </x:c>
      <x:c r="H167" s="10" t="n">
        <x:v>1335</x:v>
      </x:c>
      <x:c r="I167" s="10" t="n">
        <x:v>20.56</x:v>
      </x:c>
      <x:c r="J167" s="10" t="n">
        <x:v>11.25</x:v>
      </x:c>
      <x:c r="K167" s="10" t="n">
        <x:v>26915.92</x:v>
      </x:c>
      <x:c r="L167" s="10" t="n">
        <x:v>27447.6</x:v>
      </x:c>
      <x:c r="M167" s="10" t="n">
        <x:v>14132.18</x:v>
      </x:c>
      <x:c r="N167" s="10" t="n">
        <x:v>15018.75</x:v>
      </x:c>
    </x:row>
    <x:row r="168">
      <x:c r="A168" t="str">
        <x:v>2025-09</x:v>
      </x:c>
      <x:c r="B168" t="str">
        <x:v>AT-007</x:v>
      </x:c>
      <x:c r="C168" t="str">
        <x:v>Personal Care</x:v>
      </x:c>
      <x:c r="D168" t="str">
        <x:v>Personal Care Product 2</x:v>
      </x:c>
      <x:c r="E168" s="10" t="n">
        <x:v>1465</x:v>
      </x:c>
      <x:c r="F168" s="10" t="n">
        <x:v>23.93</x:v>
      </x:c>
      <x:c r="G168" s="10" t="n">
        <x:v>12.85</x:v>
      </x:c>
      <x:c r="H168" s="10" t="n">
        <x:v>1464</x:v>
      </x:c>
      <x:c r="I168" s="10" t="n">
        <x:v>24.85</x:v>
      </x:c>
      <x:c r="J168" s="10" t="n">
        <x:v>13.93</x:v>
      </x:c>
      <x:c r="K168" s="10" t="n">
        <x:v>35057.45</x:v>
      </x:c>
      <x:c r="L168" s="10" t="n">
        <x:v>36380.4</x:v>
      </x:c>
      <x:c r="M168" s="10" t="n">
        <x:v>18825.25</x:v>
      </x:c>
      <x:c r="N168" s="10" t="n">
        <x:v>20393.52</x:v>
      </x:c>
    </x:row>
    <x:row r="169">
      <x:c r="A169" t="str">
        <x:v>2025-09</x:v>
      </x:c>
      <x:c r="B169" t="str">
        <x:v>AT-008</x:v>
      </x:c>
      <x:c r="C169" t="str">
        <x:v>Personal Care</x:v>
      </x:c>
      <x:c r="D169" t="str">
        <x:v>Personal Care Product 3</x:v>
      </x:c>
      <x:c r="E169" s="10" t="n">
        <x:v>1572</x:v>
      </x:c>
      <x:c r="F169" s="10" t="n">
        <x:v>27.49</x:v>
      </x:c>
      <x:c r="G169" s="10" t="n">
        <x:v>15.09</x:v>
      </x:c>
      <x:c r="H169" s="10" t="n">
        <x:v>1645</x:v>
      </x:c>
      <x:c r="I169" s="10" t="n">
        <x:v>27.57</x:v>
      </x:c>
      <x:c r="J169" s="10" t="n">
        <x:v>17.01</x:v>
      </x:c>
      <x:c r="K169" s="10" t="n">
        <x:v>43214.28</x:v>
      </x:c>
      <x:c r="L169" s="10" t="n">
        <x:v>45352.65</x:v>
      </x:c>
      <x:c r="M169" s="10" t="n">
        <x:v>23721.48</x:v>
      </x:c>
      <x:c r="N169" s="10" t="n">
        <x:v>27981.45</x:v>
      </x:c>
    </x:row>
    <x:row r="170">
      <x:c r="A170" t="str">
        <x:v>2025-09</x:v>
      </x:c>
      <x:c r="B170" t="str">
        <x:v>AT-009</x:v>
      </x:c>
      <x:c r="C170" t="str">
        <x:v>Personal Care</x:v>
      </x:c>
      <x:c r="D170" t="str">
        <x:v>Personal Care Product 4</x:v>
      </x:c>
      <x:c r="E170" s="10" t="n">
        <x:v>1647</x:v>
      </x:c>
      <x:c r="F170" s="10" t="n">
        <x:v>31.05</x:v>
      </x:c>
      <x:c r="G170" s="10" t="n">
        <x:v>17.42</x:v>
      </x:c>
      <x:c r="H170" s="10" t="n">
        <x:v>1609</x:v>
      </x:c>
      <x:c r="I170" s="10" t="n">
        <x:v>30.11</x:v>
      </x:c>
      <x:c r="J170" s="10" t="n">
        <x:v>18.49</x:v>
      </x:c>
      <x:c r="K170" s="10" t="n">
        <x:v>51139.35</x:v>
      </x:c>
      <x:c r="L170" s="10" t="n">
        <x:v>48446.99</x:v>
      </x:c>
      <x:c r="M170" s="10" t="n">
        <x:v>28690.74</x:v>
      </x:c>
      <x:c r="N170" s="10" t="n">
        <x:v>29750.41</x:v>
      </x:c>
    </x:row>
    <x:row r="171">
      <x:c r="A171" t="str">
        <x:v>2025-09</x:v>
      </x:c>
      <x:c r="B171" t="str">
        <x:v>AT-010</x:v>
      </x:c>
      <x:c r="C171" t="str">
        <x:v>Personal Care</x:v>
      </x:c>
      <x:c r="D171" t="str">
        <x:v>Personal Care Product 5</x:v>
      </x:c>
      <x:c r="E171" s="10" t="n">
        <x:v>1772</x:v>
      </x:c>
      <x:c r="F171" s="10" t="n">
        <x:v>34.62</x:v>
      </x:c>
      <x:c r="G171" s="10" t="n">
        <x:v>19.84</x:v>
      </x:c>
      <x:c r="H171" s="10" t="n">
        <x:v>1881</x:v>
      </x:c>
      <x:c r="I171" s="10" t="n">
        <x:v>33.47</x:v>
      </x:c>
      <x:c r="J171" s="10" t="n">
        <x:v>21.41</x:v>
      </x:c>
      <x:c r="K171" s="10" t="n">
        <x:v>61346.64</x:v>
      </x:c>
      <x:c r="L171" s="10" t="n">
        <x:v>62957.07</x:v>
      </x:c>
      <x:c r="M171" s="10" t="n">
        <x:v>35156.48</x:v>
      </x:c>
      <x:c r="N171" s="10" t="n">
        <x:v>40272.21</x:v>
      </x:c>
    </x:row>
    <x:row r="172">
      <x:c r="A172" t="str">
        <x:v>2025-09</x:v>
      </x:c>
      <x:c r="B172" t="str">
        <x:v>AT-011</x:v>
      </x:c>
      <x:c r="C172" t="str">
        <x:v>Office Supplies</x:v>
      </x:c>
      <x:c r="D172" t="str">
        <x:v>Office Supplies Product 1</x:v>
      </x:c>
      <x:c r="E172" s="10" t="n">
        <x:v>1208</x:v>
      </x:c>
      <x:c r="F172" s="10" t="n">
        <x:v>28.51</x:v>
      </x:c>
      <x:c r="G172" s="10" t="n">
        <x:v>15.97</x:v>
      </x:c>
      <x:c r="H172" s="10" t="n">
        <x:v>1287</x:v>
      </x:c>
      <x:c r="I172" s="10" t="n">
        <x:v>28.06</x:v>
      </x:c>
      <x:c r="J172" s="10" t="n">
        <x:v>17.87</x:v>
      </x:c>
      <x:c r="K172" s="10" t="n">
        <x:v>34440.08</x:v>
      </x:c>
      <x:c r="L172" s="10" t="n">
        <x:v>36113.22</x:v>
      </x:c>
      <x:c r="M172" s="10" t="n">
        <x:v>19291.76</x:v>
      </x:c>
      <x:c r="N172" s="10" t="n">
        <x:v>22998.69</x:v>
      </x:c>
    </x:row>
    <x:row r="173">
      <x:c r="A173" t="str">
        <x:v>2025-09</x:v>
      </x:c>
      <x:c r="B173" t="str">
        <x:v>AT-012</x:v>
      </x:c>
      <x:c r="C173" t="str">
        <x:v>Office Supplies</x:v>
      </x:c>
      <x:c r="D173" t="str">
        <x:v>Office Supplies Product 2</x:v>
      </x:c>
      <x:c r="E173" s="10" t="n">
        <x:v>1330</x:v>
      </x:c>
      <x:c r="F173" s="10" t="n">
        <x:v>32.07</x:v>
      </x:c>
      <x:c r="G173" s="10" t="n">
        <x:v>18.34</x:v>
      </x:c>
      <x:c r="H173" s="10" t="n">
        <x:v>1556</x:v>
      </x:c>
      <x:c r="I173" s="10" t="n">
        <x:v>31.93</x:v>
      </x:c>
      <x:c r="J173" s="10" t="n">
        <x:v>19.87</x:v>
      </x:c>
      <x:c r="K173" s="10" t="n">
        <x:v>42653.1</x:v>
      </x:c>
      <x:c r="L173" s="10" t="n">
        <x:v>49683.08</x:v>
      </x:c>
      <x:c r="M173" s="10" t="n">
        <x:v>24392.2</x:v>
      </x:c>
      <x:c r="N173" s="10" t="n">
        <x:v>30917.72</x:v>
      </x:c>
    </x:row>
    <x:row r="174">
      <x:c r="A174" t="str">
        <x:v>2025-09</x:v>
      </x:c>
      <x:c r="B174" t="str">
        <x:v>AT-013</x:v>
      </x:c>
      <x:c r="C174" t="str">
        <x:v>Office Supplies</x:v>
      </x:c>
      <x:c r="D174" t="str">
        <x:v>Office Supplies Product 3</x:v>
      </x:c>
      <x:c r="E174" s="10" t="n">
        <x:v>1475</x:v>
      </x:c>
      <x:c r="F174" s="10" t="n">
        <x:v>35.64</x:v>
      </x:c>
      <x:c r="G174" s="10" t="n">
        <x:v>20.81</x:v>
      </x:c>
      <x:c r="H174" s="10" t="n">
        <x:v>1415</x:v>
      </x:c>
      <x:c r="I174" s="10" t="n">
        <x:v>35.91</x:v>
      </x:c>
      <x:c r="J174" s="10" t="n">
        <x:v>22.51</x:v>
      </x:c>
      <x:c r="K174" s="10" t="n">
        <x:v>52569</x:v>
      </x:c>
      <x:c r="L174" s="10" t="n">
        <x:v>50812.65</x:v>
      </x:c>
      <x:c r="M174" s="10" t="n">
        <x:v>30694.75</x:v>
      </x:c>
      <x:c r="N174" s="10" t="n">
        <x:v>31851.65</x:v>
      </x:c>
    </x:row>
    <x:row r="175">
      <x:c r="A175" t="str">
        <x:v>2025-09</x:v>
      </x:c>
      <x:c r="B175" t="str">
        <x:v>AT-014</x:v>
      </x:c>
      <x:c r="C175" t="str">
        <x:v>Office Supplies</x:v>
      </x:c>
      <x:c r="D175" t="str">
        <x:v>Office Supplies Product 4</x:v>
      </x:c>
      <x:c r="E175" s="10" t="n">
        <x:v>1610</x:v>
      </x:c>
      <x:c r="F175" s="10" t="n">
        <x:v>39.2</x:v>
      </x:c>
      <x:c r="G175" s="10" t="n">
        <x:v>23.36</x:v>
      </x:c>
      <x:c r="H175" s="10" t="n">
        <x:v>1730</x:v>
      </x:c>
      <x:c r="I175" s="10" t="n">
        <x:v>40.44</x:v>
      </x:c>
      <x:c r="J175" s="10" t="n">
        <x:v>26.28</x:v>
      </x:c>
      <x:c r="K175" s="10" t="n">
        <x:v>63112</x:v>
      </x:c>
      <x:c r="L175" s="10" t="n">
        <x:v>69961.2</x:v>
      </x:c>
      <x:c r="M175" s="10" t="n">
        <x:v>37609.6</x:v>
      </x:c>
      <x:c r="N175" s="10" t="n">
        <x:v>45464.4</x:v>
      </x:c>
    </x:row>
    <x:row r="176">
      <x:c r="A176" t="str">
        <x:v>2025-09</x:v>
      </x:c>
      <x:c r="B176" t="str">
        <x:v>AT-015</x:v>
      </x:c>
      <x:c r="C176" t="str">
        <x:v>Office Supplies</x:v>
      </x:c>
      <x:c r="D176" t="str">
        <x:v>Office Supplies Product 5</x:v>
      </x:c>
      <x:c r="E176" s="10" t="n">
        <x:v>1735</x:v>
      </x:c>
      <x:c r="F176" s="10" t="n">
        <x:v>42.76</x:v>
      </x:c>
      <x:c r="G176" s="10" t="n">
        <x:v>26</x:v>
      </x:c>
      <x:c r="H176" s="10" t="n">
        <x:v>1989</x:v>
      </x:c>
      <x:c r="I176" s="10" t="n">
        <x:v>44.43</x:v>
      </x:c>
      <x:c r="J176" s="10" t="n">
        <x:v>28.26</x:v>
      </x:c>
      <x:c r="K176" s="10" t="n">
        <x:v>74188.6</x:v>
      </x:c>
      <x:c r="L176" s="10" t="n">
        <x:v>88371.27</x:v>
      </x:c>
      <x:c r="M176" s="10" t="n">
        <x:v>45110</x:v>
      </x:c>
      <x:c r="N176" s="10" t="n">
        <x:v>56209.14</x:v>
      </x:c>
    </x:row>
    <x:row r="177">
      <x:c r="A177" t="str">
        <x:v>2025-09</x:v>
      </x:c>
      <x:c r="B177" t="str">
        <x:v>AT-016</x:v>
      </x:c>
      <x:c r="C177" t="str">
        <x:v>Lifestyle Accessories</x:v>
      </x:c>
      <x:c r="D177" t="str">
        <x:v>Lifestyle Accessories Product 1</x:v>
      </x:c>
      <x:c r="E177" s="10" t="n">
        <x:v>1143</x:v>
      </x:c>
      <x:c r="F177" s="10" t="n">
        <x:v>36.65</x:v>
      </x:c>
      <x:c r="G177" s="10" t="n">
        <x:v>21.81</x:v>
      </x:c>
      <x:c r="H177" s="10" t="n">
        <x:v>1260</x:v>
      </x:c>
      <x:c r="I177" s="10" t="n">
        <x:v>37.89</x:v>
      </x:c>
      <x:c r="J177" s="10" t="n">
        <x:v>24.65</x:v>
      </x:c>
      <x:c r="K177" s="10" t="n">
        <x:v>41890.95</x:v>
      </x:c>
      <x:c r="L177" s="10" t="n">
        <x:v>47741.4</x:v>
      </x:c>
      <x:c r="M177" s="10" t="n">
        <x:v>24928.83</x:v>
      </x:c>
      <x:c r="N177" s="10" t="n">
        <x:v>31059</x:v>
      </x:c>
    </x:row>
    <x:row r="178">
      <x:c r="A178" t="str">
        <x:v>2025-09</x:v>
      </x:c>
      <x:c r="B178" t="str">
        <x:v>AT-017</x:v>
      </x:c>
      <x:c r="C178" t="str">
        <x:v>Lifestyle Accessories</x:v>
      </x:c>
      <x:c r="D178" t="str">
        <x:v>Lifestyle Accessories Product 2</x:v>
      </x:c>
      <x:c r="E178" s="10" t="n">
        <x:v>1221</x:v>
      </x:c>
      <x:c r="F178" s="10" t="n">
        <x:v>40.22</x:v>
      </x:c>
      <x:c r="G178" s="10" t="n">
        <x:v>24.41</x:v>
      </x:c>
      <x:c r="H178" s="10" t="n">
        <x:v>1151</x:v>
      </x:c>
      <x:c r="I178" s="10" t="n">
        <x:v>40.75</x:v>
      </x:c>
      <x:c r="J178" s="10" t="n">
        <x:v>25.93</x:v>
      </x:c>
      <x:c r="K178" s="10" t="n">
        <x:v>49108.62</x:v>
      </x:c>
      <x:c r="L178" s="10" t="n">
        <x:v>46903.25</x:v>
      </x:c>
      <x:c r="M178" s="10" t="n">
        <x:v>29804.61</x:v>
      </x:c>
      <x:c r="N178" s="10" t="n">
        <x:v>29845.43</x:v>
      </x:c>
    </x:row>
    <x:row r="179">
      <x:c r="A179" t="str">
        <x:v>2025-09</x:v>
      </x:c>
      <x:c r="B179" t="str">
        <x:v>AT-018</x:v>
      </x:c>
      <x:c r="C179" t="str">
        <x:v>Lifestyle Accessories</x:v>
      </x:c>
      <x:c r="D179" t="str">
        <x:v>Lifestyle Accessories Product 3</x:v>
      </x:c>
      <x:c r="E179" s="10" t="n">
        <x:v>1401</x:v>
      </x:c>
      <x:c r="F179" s="10" t="n">
        <x:v>43.78</x:v>
      </x:c>
      <x:c r="G179" s="10" t="n">
        <x:v>27.1</x:v>
      </x:c>
      <x:c r="H179" s="10" t="n">
        <x:v>1489</x:v>
      </x:c>
      <x:c r="I179" s="10" t="n">
        <x:v>42.7</x:v>
      </x:c>
      <x:c r="J179" s="10" t="n">
        <x:v>28.84</x:v>
      </x:c>
      <x:c r="K179" s="10" t="n">
        <x:v>61335.78</x:v>
      </x:c>
      <x:c r="L179" s="10" t="n">
        <x:v>63580.3</x:v>
      </x:c>
      <x:c r="M179" s="10" t="n">
        <x:v>37967.1</x:v>
      </x:c>
      <x:c r="N179" s="10" t="n">
        <x:v>42942.76</x:v>
      </x:c>
    </x:row>
    <x:row r="180">
      <x:c r="A180" t="str">
        <x:v>2025-09</x:v>
      </x:c>
      <x:c r="B180" t="str">
        <x:v>AT-019</x:v>
      </x:c>
      <x:c r="C180" t="str">
        <x:v>Lifestyle Accessories</x:v>
      </x:c>
      <x:c r="D180" t="str">
        <x:v>Lifestyle Accessories Product 4</x:v>
      </x:c>
      <x:c r="E180" s="10" t="n">
        <x:v>1503</x:v>
      </x:c>
      <x:c r="F180" s="10" t="n">
        <x:v>47.35</x:v>
      </x:c>
      <x:c r="G180" s="10" t="n">
        <x:v>29.88</x:v>
      </x:c>
      <x:c r="H180" s="10" t="n">
        <x:v>1769</x:v>
      </x:c>
      <x:c r="I180" s="10" t="n">
        <x:v>46.73</x:v>
      </x:c>
      <x:c r="J180" s="10" t="n">
        <x:v>33.68</x:v>
      </x:c>
      <x:c r="K180" s="10" t="n">
        <x:v>71167.05</x:v>
      </x:c>
      <x:c r="L180" s="10" t="n">
        <x:v>82665.37</x:v>
      </x:c>
      <x:c r="M180" s="10" t="n">
        <x:v>44909.64</x:v>
      </x:c>
      <x:c r="N180" s="10" t="n">
        <x:v>59579.92</x:v>
      </x:c>
    </x:row>
    <x:row r="181">
      <x:c r="A181" t="str">
        <x:v>2025-09</x:v>
      </x:c>
      <x:c r="B181" t="str">
        <x:v>AT-020</x:v>
      </x:c>
      <x:c r="C181" t="str">
        <x:v>Lifestyle Accessories</x:v>
      </x:c>
      <x:c r="D181" t="str">
        <x:v>Lifestyle Accessories Product 5</x:v>
      </x:c>
      <x:c r="E181" s="10" t="n">
        <x:v>1659</x:v>
      </x:c>
      <x:c r="F181" s="10" t="n">
        <x:v>50.91</x:v>
      </x:c>
      <x:c r="G181" s="10" t="n">
        <x:v>32.74</x:v>
      </x:c>
      <x:c r="H181" s="10" t="n">
        <x:v>1872</x:v>
      </x:c>
      <x:c r="I181" s="10" t="n">
        <x:v>52.07</x:v>
      </x:c>
      <x:c r="J181" s="10" t="n">
        <x:v>36.51</x:v>
      </x:c>
      <x:c r="K181" s="10" t="n">
        <x:v>84459.69</x:v>
      </x:c>
      <x:c r="L181" s="10" t="n">
        <x:v>97475.04</x:v>
      </x:c>
      <x:c r="M181" s="10" t="n">
        <x:v>54315.66</x:v>
      </x:c>
      <x:c r="N181" s="10" t="n">
        <x:v>68346.72</x:v>
      </x:c>
    </x:row>
    <x:row r="182">
      <x:c r="A182" t="str">
        <x:v>2025-10</x:v>
      </x:c>
      <x:c r="B182" t="str">
        <x:v>AT-001</x:v>
      </x:c>
      <x:c r="C182" t="str">
        <x:v>Home Essentials</x:v>
      </x:c>
      <x:c r="D182" t="str">
        <x:v>Home Essentials Product 1</x:v>
      </x:c>
      <x:c r="E182" s="10" t="n">
        <x:v>1500</x:v>
      </x:c>
      <x:c r="F182" s="10" t="n">
        <x:v>12.25</x:v>
      </x:c>
      <x:c r="G182" s="10" t="n">
        <x:v>6</x:v>
      </x:c>
      <x:c r="H182" s="10" t="n">
        <x:v>1567</x:v>
      </x:c>
      <x:c r="I182" s="10" t="n">
        <x:v>12.12</x:v>
      </x:c>
      <x:c r="J182" s="10" t="n">
        <x:v>6.55</x:v>
      </x:c>
      <x:c r="K182" s="10" t="n">
        <x:v>18375</x:v>
      </x:c>
      <x:c r="L182" s="10" t="n">
        <x:v>18992.04</x:v>
      </x:c>
      <x:c r="M182" s="10" t="n">
        <x:v>9000</x:v>
      </x:c>
      <x:c r="N182" s="10" t="n">
        <x:v>10263.85</x:v>
      </x:c>
    </x:row>
    <x:row r="183">
      <x:c r="A183" t="str">
        <x:v>2025-10</x:v>
      </x:c>
      <x:c r="B183" t="str">
        <x:v>AT-002</x:v>
      </x:c>
      <x:c r="C183" t="str">
        <x:v>Home Essentials</x:v>
      </x:c>
      <x:c r="D183" t="str">
        <x:v>Home Essentials Product 2</x:v>
      </x:c>
      <x:c r="E183" s="10" t="n">
        <x:v>1645</x:v>
      </x:c>
      <x:c r="F183" s="10" t="n">
        <x:v>15.82</x:v>
      </x:c>
      <x:c r="G183" s="10" t="n">
        <x:v>7.94</x:v>
      </x:c>
      <x:c r="H183" s="10" t="n">
        <x:v>1905</x:v>
      </x:c>
      <x:c r="I183" s="10" t="n">
        <x:v>15.67</x:v>
      </x:c>
      <x:c r="J183" s="10" t="n">
        <x:v>8.97</x:v>
      </x:c>
      <x:c r="K183" s="10" t="n">
        <x:v>26023.9</x:v>
      </x:c>
      <x:c r="L183" s="10" t="n">
        <x:v>29851.35</x:v>
      </x:c>
      <x:c r="M183" s="10" t="n">
        <x:v>13061.3</x:v>
      </x:c>
      <x:c r="N183" s="10" t="n">
        <x:v>17087.85</x:v>
      </x:c>
    </x:row>
    <x:row r="184">
      <x:c r="A184" t="str">
        <x:v>2025-10</x:v>
      </x:c>
      <x:c r="B184" t="str">
        <x:v>AT-003</x:v>
      </x:c>
      <x:c r="C184" t="str">
        <x:v>Home Essentials</x:v>
      </x:c>
      <x:c r="D184" t="str">
        <x:v>Home Essentials Product 3</x:v>
      </x:c>
      <x:c r="E184" s="10" t="n">
        <x:v>1759</x:v>
      </x:c>
      <x:c r="F184" s="10" t="n">
        <x:v>19.39</x:v>
      </x:c>
      <x:c r="G184" s="10" t="n">
        <x:v>9.97</x:v>
      </x:c>
      <x:c r="H184" s="10" t="n">
        <x:v>2113</x:v>
      </x:c>
      <x:c r="I184" s="10" t="n">
        <x:v>18.6</x:v>
      </x:c>
      <x:c r="J184" s="10" t="n">
        <x:v>10.79</x:v>
      </x:c>
      <x:c r="K184" s="10" t="n">
        <x:v>34107.01</x:v>
      </x:c>
      <x:c r="L184" s="10" t="n">
        <x:v>39301.8</x:v>
      </x:c>
      <x:c r="M184" s="10" t="n">
        <x:v>17537.23</x:v>
      </x:c>
      <x:c r="N184" s="10" t="n">
        <x:v>22799.27</x:v>
      </x:c>
    </x:row>
    <x:row r="185">
      <x:c r="A185" t="str">
        <x:v>2025-10</x:v>
      </x:c>
      <x:c r="B185" t="str">
        <x:v>AT-004</x:v>
      </x:c>
      <x:c r="C185" t="str">
        <x:v>Home Essentials</x:v>
      </x:c>
      <x:c r="D185" t="str">
        <x:v>Home Essentials Product 4</x:v>
      </x:c>
      <x:c r="E185" s="10" t="n">
        <x:v>1980</x:v>
      </x:c>
      <x:c r="F185" s="10" t="n">
        <x:v>22.96</x:v>
      </x:c>
      <x:c r="G185" s="10" t="n">
        <x:v>12.08</x:v>
      </x:c>
      <x:c r="H185" s="10" t="n">
        <x:v>1880</x:v>
      </x:c>
      <x:c r="I185" s="10" t="n">
        <x:v>23.82</x:v>
      </x:c>
      <x:c r="J185" s="10" t="n">
        <x:v>13.21</x:v>
      </x:c>
      <x:c r="K185" s="10" t="n">
        <x:v>45460.8</x:v>
      </x:c>
      <x:c r="L185" s="10" t="n">
        <x:v>44781.6</x:v>
      </x:c>
      <x:c r="M185" s="10" t="n">
        <x:v>23918.4</x:v>
      </x:c>
      <x:c r="N185" s="10" t="n">
        <x:v>24834.8</x:v>
      </x:c>
    </x:row>
    <x:row r="186">
      <x:c r="A186" t="str">
        <x:v>2025-10</x:v>
      </x:c>
      <x:c r="B186" t="str">
        <x:v>AT-005</x:v>
      </x:c>
      <x:c r="C186" t="str">
        <x:v>Home Essentials</x:v>
      </x:c>
      <x:c r="D186" t="str">
        <x:v>Home Essentials Product 5</x:v>
      </x:c>
      <x:c r="E186" s="10" t="n">
        <x:v>2065</x:v>
      </x:c>
      <x:c r="F186" s="10" t="n">
        <x:v>26.53</x:v>
      </x:c>
      <x:c r="G186" s="10" t="n">
        <x:v>14.27</x:v>
      </x:c>
      <x:c r="H186" s="10" t="n">
        <x:v>2080</x:v>
      </x:c>
      <x:c r="I186" s="10" t="n">
        <x:v>26.75</x:v>
      </x:c>
      <x:c r="J186" s="10" t="n">
        <x:v>16.23</x:v>
      </x:c>
      <x:c r="K186" s="10" t="n">
        <x:v>54784.45</x:v>
      </x:c>
      <x:c r="L186" s="10" t="n">
        <x:v>55640</x:v>
      </x:c>
      <x:c r="M186" s="10" t="n">
        <x:v>29467.55</x:v>
      </x:c>
      <x:c r="N186" s="10" t="n">
        <x:v>33758.4</x:v>
      </x:c>
    </x:row>
    <x:row r="187">
      <x:c r="A187" t="str">
        <x:v>2025-10</x:v>
      </x:c>
      <x:c r="B187" t="str">
        <x:v>AT-006</x:v>
      </x:c>
      <x:c r="C187" t="str">
        <x:v>Personal Care</x:v>
      </x:c>
      <x:c r="D187" t="str">
        <x:v>Personal Care Product 1</x:v>
      </x:c>
      <x:c r="E187" s="10" t="n">
        <x:v>1407</x:v>
      </x:c>
      <x:c r="F187" s="10" t="n">
        <x:v>20.41</x:v>
      </x:c>
      <x:c r="G187" s="10" t="n">
        <x:v>10.72</x:v>
      </x:c>
      <x:c r="H187" s="10" t="n">
        <x:v>1306</x:v>
      </x:c>
      <x:c r="I187" s="10" t="n">
        <x:v>20.41</x:v>
      </x:c>
      <x:c r="J187" s="10" t="n">
        <x:v>11.73</x:v>
      </x:c>
      <x:c r="K187" s="10" t="n">
        <x:v>28716.87</x:v>
      </x:c>
      <x:c r="L187" s="10" t="n">
        <x:v>26655.46</x:v>
      </x:c>
      <x:c r="M187" s="10" t="n">
        <x:v>15083.04</x:v>
      </x:c>
      <x:c r="N187" s="10" t="n">
        <x:v>15319.38</x:v>
      </x:c>
    </x:row>
    <x:row r="188">
      <x:c r="A188" t="str">
        <x:v>2025-10</x:v>
      </x:c>
      <x:c r="B188" t="str">
        <x:v>AT-007</x:v>
      </x:c>
      <x:c r="C188" t="str">
        <x:v>Personal Care</x:v>
      </x:c>
      <x:c r="D188" t="str">
        <x:v>Personal Care Product 2</x:v>
      </x:c>
      <x:c r="E188" s="10" t="n">
        <x:v>1583</x:v>
      </x:c>
      <x:c r="F188" s="10" t="n">
        <x:v>23.98</x:v>
      </x:c>
      <x:c r="G188" s="10" t="n">
        <x:v>12.88</x:v>
      </x:c>
      <x:c r="H188" s="10" t="n">
        <x:v>1523</x:v>
      </x:c>
      <x:c r="I188" s="10" t="n">
        <x:v>23.33</x:v>
      </x:c>
      <x:c r="J188" s="10" t="n">
        <x:v>13.87</x:v>
      </x:c>
      <x:c r="K188" s="10" t="n">
        <x:v>37960.34</x:v>
      </x:c>
      <x:c r="L188" s="10" t="n">
        <x:v>35531.59</x:v>
      </x:c>
      <x:c r="M188" s="10" t="n">
        <x:v>20389.04</x:v>
      </x:c>
      <x:c r="N188" s="10" t="n">
        <x:v>21124.01</x:v>
      </x:c>
    </x:row>
    <x:row r="189">
      <x:c r="A189" t="str">
        <x:v>2025-10</x:v>
      </x:c>
      <x:c r="B189" t="str">
        <x:v>AT-008</x:v>
      </x:c>
      <x:c r="C189" t="str">
        <x:v>Personal Care</x:v>
      </x:c>
      <x:c r="D189" t="str">
        <x:v>Personal Care Product 3</x:v>
      </x:c>
      <x:c r="E189" s="10" t="n">
        <x:v>1677</x:v>
      </x:c>
      <x:c r="F189" s="10" t="n">
        <x:v>27.55</x:v>
      </x:c>
      <x:c r="G189" s="10" t="n">
        <x:v>15.12</x:v>
      </x:c>
      <x:c r="H189" s="10" t="n">
        <x:v>1932</x:v>
      </x:c>
      <x:c r="I189" s="10" t="n">
        <x:v>28.07</x:v>
      </x:c>
      <x:c r="J189" s="10" t="n">
        <x:v>16</x:v>
      </x:c>
      <x:c r="K189" s="10" t="n">
        <x:v>46201.35</x:v>
      </x:c>
      <x:c r="L189" s="10" t="n">
        <x:v>54231.24</x:v>
      </x:c>
      <x:c r="M189" s="10" t="n">
        <x:v>25356.24</x:v>
      </x:c>
      <x:c r="N189" s="10" t="n">
        <x:v>30912</x:v>
      </x:c>
    </x:row>
    <x:row r="190">
      <x:c r="A190" t="str">
        <x:v>2025-10</x:v>
      </x:c>
      <x:c r="B190" t="str">
        <x:v>AT-009</x:v>
      </x:c>
      <x:c r="C190" t="str">
        <x:v>Personal Care</x:v>
      </x:c>
      <x:c r="D190" t="str">
        <x:v>Personal Care Product 4</x:v>
      </x:c>
      <x:c r="E190" s="10" t="n">
        <x:v>1815</x:v>
      </x:c>
      <x:c r="F190" s="10" t="n">
        <x:v>31.12</x:v>
      </x:c>
      <x:c r="G190" s="10" t="n">
        <x:v>17.46</x:v>
      </x:c>
      <x:c r="H190" s="10" t="n">
        <x:v>1825</x:v>
      </x:c>
      <x:c r="I190" s="10" t="n">
        <x:v>30.15</x:v>
      </x:c>
      <x:c r="J190" s="10" t="n">
        <x:v>19.44</x:v>
      </x:c>
      <x:c r="K190" s="10" t="n">
        <x:v>56482.8</x:v>
      </x:c>
      <x:c r="L190" s="10" t="n">
        <x:v>55023.75</x:v>
      </x:c>
      <x:c r="M190" s="10" t="n">
        <x:v>31689.9</x:v>
      </x:c>
      <x:c r="N190" s="10" t="n">
        <x:v>35478</x:v>
      </x:c>
    </x:row>
    <x:row r="191">
      <x:c r="A191" t="str">
        <x:v>2025-10</x:v>
      </x:c>
      <x:c r="B191" t="str">
        <x:v>AT-010</x:v>
      </x:c>
      <x:c r="C191" t="str">
        <x:v>Personal Care</x:v>
      </x:c>
      <x:c r="D191" t="str">
        <x:v>Personal Care Product 5</x:v>
      </x:c>
      <x:c r="E191" s="10" t="n">
        <x:v>1940</x:v>
      </x:c>
      <x:c r="F191" s="10" t="n">
        <x:v>34.7</x:v>
      </x:c>
      <x:c r="G191" s="10" t="n">
        <x:v>19.88</x:v>
      </x:c>
      <x:c r="H191" s="10" t="n">
        <x:v>2227</x:v>
      </x:c>
      <x:c r="I191" s="10" t="n">
        <x:v>35.42</x:v>
      </x:c>
      <x:c r="J191" s="10" t="n">
        <x:v>21.13</x:v>
      </x:c>
      <x:c r="K191" s="10" t="n">
        <x:v>67318</x:v>
      </x:c>
      <x:c r="L191" s="10" t="n">
        <x:v>78880.34</x:v>
      </x:c>
      <x:c r="M191" s="10" t="n">
        <x:v>38567.2</x:v>
      </x:c>
      <x:c r="N191" s="10" t="n">
        <x:v>47056.51</x:v>
      </x:c>
    </x:row>
    <x:row r="192">
      <x:c r="A192" t="str">
        <x:v>2025-10</x:v>
      </x:c>
      <x:c r="B192" t="str">
        <x:v>AT-011</x:v>
      </x:c>
      <x:c r="C192" t="str">
        <x:v>Office Supplies</x:v>
      </x:c>
      <x:c r="D192" t="str">
        <x:v>Office Supplies Product 1</x:v>
      </x:c>
      <x:c r="E192" s="10" t="n">
        <x:v>1334</x:v>
      </x:c>
      <x:c r="F192" s="10" t="n">
        <x:v>28.57</x:v>
      </x:c>
      <x:c r="G192" s="10" t="n">
        <x:v>16</x:v>
      </x:c>
      <x:c r="H192" s="10" t="n">
        <x:v>1377</x:v>
      </x:c>
      <x:c r="I192" s="10" t="n">
        <x:v>29.42</x:v>
      </x:c>
      <x:c r="J192" s="10" t="n">
        <x:v>17.98</x:v>
      </x:c>
      <x:c r="K192" s="10" t="n">
        <x:v>38112.38</x:v>
      </x:c>
      <x:c r="L192" s="10" t="n">
        <x:v>40511.34</x:v>
      </x:c>
      <x:c r="M192" s="10" t="n">
        <x:v>21344</x:v>
      </x:c>
      <x:c r="N192" s="10" t="n">
        <x:v>24758.46</x:v>
      </x:c>
    </x:row>
    <x:row r="193">
      <x:c r="A193" t="str">
        <x:v>2025-10</x:v>
      </x:c>
      <x:c r="B193" t="str">
        <x:v>AT-012</x:v>
      </x:c>
      <x:c r="C193" t="str">
        <x:v>Office Supplies</x:v>
      </x:c>
      <x:c r="D193" t="str">
        <x:v>Office Supplies Product 2</x:v>
      </x:c>
      <x:c r="E193" s="10" t="n">
        <x:v>1452</x:v>
      </x:c>
      <x:c r="F193" s="10" t="n">
        <x:v>32.14</x:v>
      </x:c>
      <x:c r="G193" s="10" t="n">
        <x:v>18.38</x:v>
      </x:c>
      <x:c r="H193" s="10" t="n">
        <x:v>1342</x:v>
      </x:c>
      <x:c r="I193" s="10" t="n">
        <x:v>31.95</x:v>
      </x:c>
      <x:c r="J193" s="10" t="n">
        <x:v>19.59</x:v>
      </x:c>
      <x:c r="K193" s="10" t="n">
        <x:v>46667.28</x:v>
      </x:c>
      <x:c r="L193" s="10" t="n">
        <x:v>42876.9</x:v>
      </x:c>
      <x:c r="M193" s="10" t="n">
        <x:v>26687.76</x:v>
      </x:c>
      <x:c r="N193" s="10" t="n">
        <x:v>26289.78</x:v>
      </x:c>
    </x:row>
    <x:row r="194">
      <x:c r="A194" t="str">
        <x:v>2025-10</x:v>
      </x:c>
      <x:c r="B194" t="str">
        <x:v>AT-013</x:v>
      </x:c>
      <x:c r="C194" t="str">
        <x:v>Office Supplies</x:v>
      </x:c>
      <x:c r="D194" t="str">
        <x:v>Office Supplies Product 3</x:v>
      </x:c>
      <x:c r="E194" s="10" t="n">
        <x:v>1595</x:v>
      </x:c>
      <x:c r="F194" s="10" t="n">
        <x:v>35.72</x:v>
      </x:c>
      <x:c r="G194" s="10" t="n">
        <x:v>20.86</x:v>
      </x:c>
      <x:c r="H194" s="10" t="n">
        <x:v>1540</x:v>
      </x:c>
      <x:c r="I194" s="10" t="n">
        <x:v>35.49</x:v>
      </x:c>
      <x:c r="J194" s="10" t="n">
        <x:v>22.67</x:v>
      </x:c>
      <x:c r="K194" s="10" t="n">
        <x:v>56973.4</x:v>
      </x:c>
      <x:c r="L194" s="10" t="n">
        <x:v>54654.6</x:v>
      </x:c>
      <x:c r="M194" s="10" t="n">
        <x:v>33271.7</x:v>
      </x:c>
      <x:c r="N194" s="10" t="n">
        <x:v>34911.8</x:v>
      </x:c>
    </x:row>
    <x:row r="195">
      <x:c r="A195" t="str">
        <x:v>2025-10</x:v>
      </x:c>
      <x:c r="B195" t="str">
        <x:v>AT-014</x:v>
      </x:c>
      <x:c r="C195" t="str">
        <x:v>Office Supplies</x:v>
      </x:c>
      <x:c r="D195" t="str">
        <x:v>Office Supplies Product 4</x:v>
      </x:c>
      <x:c r="E195" s="10" t="n">
        <x:v>1731</x:v>
      </x:c>
      <x:c r="F195" s="10" t="n">
        <x:v>39.29</x:v>
      </x:c>
      <x:c r="G195" s="10" t="n">
        <x:v>23.42</x:v>
      </x:c>
      <x:c r="H195" s="10" t="n">
        <x:v>2044</x:v>
      </x:c>
      <x:c r="I195" s="10" t="n">
        <x:v>39.41</x:v>
      </x:c>
      <x:c r="J195" s="10" t="n">
        <x:v>25.72</x:v>
      </x:c>
      <x:c r="K195" s="10" t="n">
        <x:v>68010.99</x:v>
      </x:c>
      <x:c r="L195" s="10" t="n">
        <x:v>80554.04</x:v>
      </x:c>
      <x:c r="M195" s="10" t="n">
        <x:v>40540.02</x:v>
      </x:c>
      <x:c r="N195" s="10" t="n">
        <x:v>52571.68</x:v>
      </x:c>
    </x:row>
    <x:row r="196">
      <x:c r="A196" t="str">
        <x:v>2025-10</x:v>
      </x:c>
      <x:c r="B196" t="str">
        <x:v>AT-015</x:v>
      </x:c>
      <x:c r="C196" t="str">
        <x:v>Office Supplies</x:v>
      </x:c>
      <x:c r="D196" t="str">
        <x:v>Office Supplies Product 5</x:v>
      </x:c>
      <x:c r="E196" s="10" t="n">
        <x:v>1897</x:v>
      </x:c>
      <x:c r="F196" s="10" t="n">
        <x:v>42.86</x:v>
      </x:c>
      <x:c r="G196" s="10" t="n">
        <x:v>26.06</x:v>
      </x:c>
      <x:c r="H196" s="10" t="n">
        <x:v>2204</x:v>
      </x:c>
      <x:c r="I196" s="10" t="n">
        <x:v>42.16</x:v>
      </x:c>
      <x:c r="J196" s="10" t="n">
        <x:v>28.85</x:v>
      </x:c>
      <x:c r="K196" s="10" t="n">
        <x:v>81305.42</x:v>
      </x:c>
      <x:c r="L196" s="10" t="n">
        <x:v>92920.64</x:v>
      </x:c>
      <x:c r="M196" s="10" t="n">
        <x:v>49435.82</x:v>
      </x:c>
      <x:c r="N196" s="10" t="n">
        <x:v>63585.4</x:v>
      </x:c>
    </x:row>
    <x:row r="197">
      <x:c r="A197" t="str">
        <x:v>2025-10</x:v>
      </x:c>
      <x:c r="B197" t="str">
        <x:v>AT-016</x:v>
      </x:c>
      <x:c r="C197" t="str">
        <x:v>Lifestyle Accessories</x:v>
      </x:c>
      <x:c r="D197" t="str">
        <x:v>Lifestyle Accessories Product 1</x:v>
      </x:c>
      <x:c r="E197" s="10" t="n">
        <x:v>1244</x:v>
      </x:c>
      <x:c r="F197" s="10" t="n">
        <x:v>36.74</x:v>
      </x:c>
      <x:c r="G197" s="10" t="n">
        <x:v>21.86</x:v>
      </x:c>
      <x:c r="H197" s="10" t="n">
        <x:v>1363</x:v>
      </x:c>
      <x:c r="I197" s="10" t="n">
        <x:v>35.9</x:v>
      </x:c>
      <x:c r="J197" s="10" t="n">
        <x:v>23.29</x:v>
      </x:c>
      <x:c r="K197" s="10" t="n">
        <x:v>45704.56</x:v>
      </x:c>
      <x:c r="L197" s="10" t="n">
        <x:v>48931.7</x:v>
      </x:c>
      <x:c r="M197" s="10" t="n">
        <x:v>27193.84</x:v>
      </x:c>
      <x:c r="N197" s="10" t="n">
        <x:v>31744.27</x:v>
      </x:c>
    </x:row>
    <x:row r="198">
      <x:c r="A198" t="str">
        <x:v>2025-10</x:v>
      </x:c>
      <x:c r="B198" t="str">
        <x:v>AT-017</x:v>
      </x:c>
      <x:c r="C198" t="str">
        <x:v>Lifestyle Accessories</x:v>
      </x:c>
      <x:c r="D198" t="str">
        <x:v>Lifestyle Accessories Product 2</x:v>
      </x:c>
      <x:c r="E198" s="10" t="n">
        <x:v>1357</x:v>
      </x:c>
      <x:c r="F198" s="10" t="n">
        <x:v>40.31</x:v>
      </x:c>
      <x:c r="G198" s="10" t="n">
        <x:v>24.47</x:v>
      </x:c>
      <x:c r="H198" s="10" t="n">
        <x:v>1520</x:v>
      </x:c>
      <x:c r="I198" s="10" t="n">
        <x:v>41.19</x:v>
      </x:c>
      <x:c r="J198" s="10" t="n">
        <x:v>27.13</x:v>
      </x:c>
      <x:c r="K198" s="10" t="n">
        <x:v>54700.67</x:v>
      </x:c>
      <x:c r="L198" s="10" t="n">
        <x:v>62608.8</x:v>
      </x:c>
      <x:c r="M198" s="10" t="n">
        <x:v>33205.79</x:v>
      </x:c>
      <x:c r="N198" s="10" t="n">
        <x:v>41237.6</x:v>
      </x:c>
    </x:row>
    <x:row r="199">
      <x:c r="A199" t="str">
        <x:v>2025-10</x:v>
      </x:c>
      <x:c r="B199" t="str">
        <x:v>AT-018</x:v>
      </x:c>
      <x:c r="C199" t="str">
        <x:v>Lifestyle Accessories</x:v>
      </x:c>
      <x:c r="D199" t="str">
        <x:v>Lifestyle Accessories Product 3</x:v>
      </x:c>
      <x:c r="E199" s="10" t="n">
        <x:v>1498</x:v>
      </x:c>
      <x:c r="F199" s="10" t="n">
        <x:v>43.88</x:v>
      </x:c>
      <x:c r="G199" s="10" t="n">
        <x:v>27.16</x:v>
      </x:c>
      <x:c r="H199" s="10" t="n">
        <x:v>1565</x:v>
      </x:c>
      <x:c r="I199" s="10" t="n">
        <x:v>42.19</x:v>
      </x:c>
      <x:c r="J199" s="10" t="n">
        <x:v>29.25</x:v>
      </x:c>
      <x:c r="K199" s="10" t="n">
        <x:v>65732.24</x:v>
      </x:c>
      <x:c r="L199" s="10" t="n">
        <x:v>66027.35</x:v>
      </x:c>
      <x:c r="M199" s="10" t="n">
        <x:v>40685.68</x:v>
      </x:c>
      <x:c r="N199" s="10" t="n">
        <x:v>45776.25</x:v>
      </x:c>
    </x:row>
    <x:row r="200">
      <x:c r="A200" t="str">
        <x:v>2025-10</x:v>
      </x:c>
      <x:c r="B200" t="str">
        <x:v>AT-019</x:v>
      </x:c>
      <x:c r="C200" t="str">
        <x:v>Lifestyle Accessories</x:v>
      </x:c>
      <x:c r="D200" t="str">
        <x:v>Lifestyle Accessories Product 4</x:v>
      </x:c>
      <x:c r="E200" s="10" t="n">
        <x:v>1587</x:v>
      </x:c>
      <x:c r="F200" s="10" t="n">
        <x:v>47.45</x:v>
      </x:c>
      <x:c r="G200" s="10" t="n">
        <x:v>29.94</x:v>
      </x:c>
      <x:c r="H200" s="10" t="n">
        <x:v>1683</x:v>
      </x:c>
      <x:c r="I200" s="10" t="n">
        <x:v>48.87</x:v>
      </x:c>
      <x:c r="J200" s="10" t="n">
        <x:v>31.61</x:v>
      </x:c>
      <x:c r="K200" s="10" t="n">
        <x:v>75303.15</x:v>
      </x:c>
      <x:c r="L200" s="10" t="n">
        <x:v>82248.21</x:v>
      </x:c>
      <x:c r="M200" s="10" t="n">
        <x:v>47514.78</x:v>
      </x:c>
      <x:c r="N200" s="10" t="n">
        <x:v>53199.63</x:v>
      </x:c>
    </x:row>
    <x:row r="201">
      <x:c r="A201" t="str">
        <x:v>2025-10</x:v>
      </x:c>
      <x:c r="B201" t="str">
        <x:v>AT-020</x:v>
      </x:c>
      <x:c r="C201" t="str">
        <x:v>Lifestyle Accessories</x:v>
      </x:c>
      <x:c r="D201" t="str">
        <x:v>Lifestyle Accessories Product 5</x:v>
      </x:c>
      <x:c r="E201" s="10" t="n">
        <x:v>1749</x:v>
      </x:c>
      <x:c r="F201" s="10" t="n">
        <x:v>51.02</x:v>
      </x:c>
      <x:c r="G201" s="10" t="n">
        <x:v>32.81</x:v>
      </x:c>
      <x:c r="H201" s="10" t="n">
        <x:v>1941</x:v>
      </x:c>
      <x:c r="I201" s="10" t="n">
        <x:v>50.61</x:v>
      </x:c>
      <x:c r="J201" s="10" t="n">
        <x:v>36.51</x:v>
      </x:c>
      <x:c r="K201" s="10" t="n">
        <x:v>89233.98</x:v>
      </x:c>
      <x:c r="L201" s="10" t="n">
        <x:v>98234.01</x:v>
      </x:c>
      <x:c r="M201" s="10" t="n">
        <x:v>57384.69</x:v>
      </x:c>
      <x:c r="N201" s="10" t="n">
        <x:v>70865.91</x:v>
      </x:c>
    </x:row>
    <x:row r="202">
      <x:c r="A202" t="str">
        <x:v>2025-11</x:v>
      </x:c>
      <x:c r="B202" t="str">
        <x:v>AT-001</x:v>
      </x:c>
      <x:c r="C202" t="str">
        <x:v>Home Essentials</x:v>
      </x:c>
      <x:c r="D202" t="str">
        <x:v>Home Essentials Product 1</x:v>
      </x:c>
      <x:c r="E202" s="10" t="n">
        <x:v>1693</x:v>
      </x:c>
      <x:c r="F202" s="10" t="n">
        <x:v>12.27</x:v>
      </x:c>
      <x:c r="G202" s="10" t="n">
        <x:v>6.01</x:v>
      </x:c>
      <x:c r="H202" s="10" t="n">
        <x:v>2008</x:v>
      </x:c>
      <x:c r="I202" s="10" t="n">
        <x:v>12.31</x:v>
      </x:c>
      <x:c r="J202" s="10" t="n">
        <x:v>6.34</x:v>
      </x:c>
      <x:c r="K202" s="10" t="n">
        <x:v>20773.11</x:v>
      </x:c>
      <x:c r="L202" s="10" t="n">
        <x:v>24718.48</x:v>
      </x:c>
      <x:c r="M202" s="10" t="n">
        <x:v>10174.93</x:v>
      </x:c>
      <x:c r="N202" s="10" t="n">
        <x:v>12730.72</x:v>
      </x:c>
    </x:row>
    <x:row r="203">
      <x:c r="A203" t="str">
        <x:v>2025-11</x:v>
      </x:c>
      <x:c r="B203" t="str">
        <x:v>AT-002</x:v>
      </x:c>
      <x:c r="C203" t="str">
        <x:v>Home Essentials</x:v>
      </x:c>
      <x:c r="D203" t="str">
        <x:v>Home Essentials Product 2</x:v>
      </x:c>
      <x:c r="E203" s="10" t="n">
        <x:v>1810</x:v>
      </x:c>
      <x:c r="F203" s="10" t="n">
        <x:v>15.85</x:v>
      </x:c>
      <x:c r="G203" s="10" t="n">
        <x:v>7.96</x:v>
      </x:c>
      <x:c r="H203" s="10" t="n">
        <x:v>1790</x:v>
      </x:c>
      <x:c r="I203" s="10" t="n">
        <x:v>15.36</x:v>
      </x:c>
      <x:c r="J203" s="10" t="n">
        <x:v>8.74</x:v>
      </x:c>
      <x:c r="K203" s="10" t="n">
        <x:v>28688.5</x:v>
      </x:c>
      <x:c r="L203" s="10" t="n">
        <x:v>27494.4</x:v>
      </x:c>
      <x:c r="M203" s="10" t="n">
        <x:v>14407.6</x:v>
      </x:c>
      <x:c r="N203" s="10" t="n">
        <x:v>15644.6</x:v>
      </x:c>
    </x:row>
    <x:row r="204">
      <x:c r="A204" t="str">
        <x:v>2025-11</x:v>
      </x:c>
      <x:c r="B204" t="str">
        <x:v>AT-003</x:v>
      </x:c>
      <x:c r="C204" t="str">
        <x:v>Home Essentials</x:v>
      </x:c>
      <x:c r="D204" t="str">
        <x:v>Home Essentials Product 3</x:v>
      </x:c>
      <x:c r="E204" s="10" t="n">
        <x:v>1911</x:v>
      </x:c>
      <x:c r="F204" s="10" t="n">
        <x:v>19.43</x:v>
      </x:c>
      <x:c r="G204" s="10" t="n">
        <x:v>9.99</x:v>
      </x:c>
      <x:c r="H204" s="10" t="n">
        <x:v>2273</x:v>
      </x:c>
      <x:c r="I204" s="10" t="n">
        <x:v>19.47</x:v>
      </x:c>
      <x:c r="J204" s="10" t="n">
        <x:v>11.36</x:v>
      </x:c>
      <x:c r="K204" s="10" t="n">
        <x:v>37130.73</x:v>
      </x:c>
      <x:c r="L204" s="10" t="n">
        <x:v>44255.31</x:v>
      </x:c>
      <x:c r="M204" s="10" t="n">
        <x:v>19090.89</x:v>
      </x:c>
      <x:c r="N204" s="10" t="n">
        <x:v>25821.28</x:v>
      </x:c>
    </x:row>
    <x:row r="205">
      <x:c r="A205" t="str">
        <x:v>2025-11</x:v>
      </x:c>
      <x:c r="B205" t="str">
        <x:v>AT-004</x:v>
      </x:c>
      <x:c r="C205" t="str">
        <x:v>Home Essentials</x:v>
      </x:c>
      <x:c r="D205" t="str">
        <x:v>Home Essentials Product 4</x:v>
      </x:c>
      <x:c r="E205" s="10" t="n">
        <x:v>2106</x:v>
      </x:c>
      <x:c r="F205" s="10" t="n">
        <x:v>23.01</x:v>
      </x:c>
      <x:c r="G205" s="10" t="n">
        <x:v>12.1</x:v>
      </x:c>
      <x:c r="H205" s="10" t="n">
        <x:v>2470</x:v>
      </x:c>
      <x:c r="I205" s="10" t="n">
        <x:v>22.92</x:v>
      </x:c>
      <x:c r="J205" s="10" t="n">
        <x:v>13.18</x:v>
      </x:c>
      <x:c r="K205" s="10" t="n">
        <x:v>48459.06</x:v>
      </x:c>
      <x:c r="L205" s="10" t="n">
        <x:v>56612.4</x:v>
      </x:c>
      <x:c r="M205" s="10" t="n">
        <x:v>25482.6</x:v>
      </x:c>
      <x:c r="N205" s="10" t="n">
        <x:v>32554.6</x:v>
      </x:c>
    </x:row>
    <x:row r="206">
      <x:c r="A206" t="str">
        <x:v>2025-11</x:v>
      </x:c>
      <x:c r="B206" t="str">
        <x:v>AT-005</x:v>
      </x:c>
      <x:c r="C206" t="str">
        <x:v>Home Essentials</x:v>
      </x:c>
      <x:c r="D206" t="str">
        <x:v>Home Essentials Product 5</x:v>
      </x:c>
      <x:c r="E206" s="10" t="n">
        <x:v>2306</x:v>
      </x:c>
      <x:c r="F206" s="10" t="n">
        <x:v>26.59</x:v>
      </x:c>
      <x:c r="G206" s="10" t="n">
        <x:v>14.31</x:v>
      </x:c>
      <x:c r="H206" s="10" t="n">
        <x:v>2555</x:v>
      </x:c>
      <x:c r="I206" s="10" t="n">
        <x:v>27.56</x:v>
      </x:c>
      <x:c r="J206" s="10" t="n">
        <x:v>15.72</x:v>
      </x:c>
      <x:c r="K206" s="10" t="n">
        <x:v>61316.54</x:v>
      </x:c>
      <x:c r="L206" s="10" t="n">
        <x:v>70415.8</x:v>
      </x:c>
      <x:c r="M206" s="10" t="n">
        <x:v>32998.86</x:v>
      </x:c>
      <x:c r="N206" s="10" t="n">
        <x:v>40164.6</x:v>
      </x:c>
    </x:row>
    <x:row r="207">
      <x:c r="A207" t="str">
        <x:v>2025-11</x:v>
      </x:c>
      <x:c r="B207" t="str">
        <x:v>AT-006</x:v>
      </x:c>
      <x:c r="C207" t="str">
        <x:v>Personal Care</x:v>
      </x:c>
      <x:c r="D207" t="str">
        <x:v>Personal Care Product 1</x:v>
      </x:c>
      <x:c r="E207" s="10" t="n">
        <x:v>1523</x:v>
      </x:c>
      <x:c r="F207" s="10" t="n">
        <x:v>20.45</x:v>
      </x:c>
      <x:c r="G207" s="10" t="n">
        <x:v>10.74</x:v>
      </x:c>
      <x:c r="H207" s="10" t="n">
        <x:v>1414</x:v>
      </x:c>
      <x:c r="I207" s="10" t="n">
        <x:v>20.05</x:v>
      </x:c>
      <x:c r="J207" s="10" t="n">
        <x:v>11.59</x:v>
      </x:c>
      <x:c r="K207" s="10" t="n">
        <x:v>31145.35</x:v>
      </x:c>
      <x:c r="L207" s="10" t="n">
        <x:v>28350.7</x:v>
      </x:c>
      <x:c r="M207" s="10" t="n">
        <x:v>16357.02</x:v>
      </x:c>
      <x:c r="N207" s="10" t="n">
        <x:v>16388.26</x:v>
      </x:c>
    </x:row>
    <x:row r="208">
      <x:c r="A208" t="str">
        <x:v>2025-11</x:v>
      </x:c>
      <x:c r="B208" t="str">
        <x:v>AT-007</x:v>
      </x:c>
      <x:c r="C208" t="str">
        <x:v>Personal Care</x:v>
      </x:c>
      <x:c r="D208" t="str">
        <x:v>Personal Care Product 2</x:v>
      </x:c>
      <x:c r="E208" s="10" t="n">
        <x:v>1701</x:v>
      </x:c>
      <x:c r="F208" s="10" t="n">
        <x:v>24.03</x:v>
      </x:c>
      <x:c r="G208" s="10" t="n">
        <x:v>12.9</x:v>
      </x:c>
      <x:c r="H208" s="10" t="n">
        <x:v>1655</x:v>
      </x:c>
      <x:c r="I208" s="10" t="n">
        <x:v>23.5</x:v>
      </x:c>
      <x:c r="J208" s="10" t="n">
        <x:v>14.52</x:v>
      </x:c>
      <x:c r="K208" s="10" t="n">
        <x:v>40875.03</x:v>
      </x:c>
      <x:c r="L208" s="10" t="n">
        <x:v>38892.5</x:v>
      </x:c>
      <x:c r="M208" s="10" t="n">
        <x:v>21942.9</x:v>
      </x:c>
      <x:c r="N208" s="10" t="n">
        <x:v>24030.6</x:v>
      </x:c>
    </x:row>
    <x:row r="209">
      <x:c r="A209" t="str">
        <x:v>2025-11</x:v>
      </x:c>
      <x:c r="B209" t="str">
        <x:v>AT-008</x:v>
      </x:c>
      <x:c r="C209" t="str">
        <x:v>Personal Care</x:v>
      </x:c>
      <x:c r="D209" t="str">
        <x:v>Personal Care Product 3</x:v>
      </x:c>
      <x:c r="E209" s="10" t="n">
        <x:v>1859</x:v>
      </x:c>
      <x:c r="F209" s="10" t="n">
        <x:v>27.61</x:v>
      </x:c>
      <x:c r="G209" s="10" t="n">
        <x:v>15.16</x:v>
      </x:c>
      <x:c r="H209" s="10" t="n">
        <x:v>2050</x:v>
      </x:c>
      <x:c r="I209" s="10" t="n">
        <x:v>27.1</x:v>
      </x:c>
      <x:c r="J209" s="10" t="n">
        <x:v>16.84</x:v>
      </x:c>
      <x:c r="K209" s="10" t="n">
        <x:v>51326.99</x:v>
      </x:c>
      <x:c r="L209" s="10" t="n">
        <x:v>55555</x:v>
      </x:c>
      <x:c r="M209" s="10" t="n">
        <x:v>28182.44</x:v>
      </x:c>
      <x:c r="N209" s="10" t="n">
        <x:v>34522</x:v>
      </x:c>
    </x:row>
    <x:row r="210">
      <x:c r="A210" t="str">
        <x:v>2025-11</x:v>
      </x:c>
      <x:c r="B210" t="str">
        <x:v>AT-009</x:v>
      </x:c>
      <x:c r="C210" t="str">
        <x:v>Personal Care</x:v>
      </x:c>
      <x:c r="D210" t="str">
        <x:v>Personal Care Product 4</x:v>
      </x:c>
      <x:c r="E210" s="10" t="n">
        <x:v>1987</x:v>
      </x:c>
      <x:c r="F210" s="10" t="n">
        <x:v>31.19</x:v>
      </x:c>
      <x:c r="G210" s="10" t="n">
        <x:v>17.5</x:v>
      </x:c>
      <x:c r="H210" s="10" t="n">
        <x:v>2014</x:v>
      </x:c>
      <x:c r="I210" s="10" t="n">
        <x:v>32.13</x:v>
      </x:c>
      <x:c r="J210" s="10" t="n">
        <x:v>18.5</x:v>
      </x:c>
      <x:c r="K210" s="10" t="n">
        <x:v>61974.53</x:v>
      </x:c>
      <x:c r="L210" s="10" t="n">
        <x:v>64709.82</x:v>
      </x:c>
      <x:c r="M210" s="10" t="n">
        <x:v>34772.5</x:v>
      </x:c>
      <x:c r="N210" s="10" t="n">
        <x:v>37259</x:v>
      </x:c>
    </x:row>
    <x:row r="211">
      <x:c r="A211" t="str">
        <x:v>2025-11</x:v>
      </x:c>
      <x:c r="B211" t="str">
        <x:v>AT-010</x:v>
      </x:c>
      <x:c r="C211" t="str">
        <x:v>Personal Care</x:v>
      </x:c>
      <x:c r="D211" t="str">
        <x:v>Personal Care Product 5</x:v>
      </x:c>
      <x:c r="E211" s="10" t="n">
        <x:v>2098</x:v>
      </x:c>
      <x:c r="F211" s="10" t="n">
        <x:v>34.77</x:v>
      </x:c>
      <x:c r="G211" s="10" t="n">
        <x:v>19.92</x:v>
      </x:c>
      <x:c r="H211" s="10" t="n">
        <x:v>2255</x:v>
      </x:c>
      <x:c r="I211" s="10" t="n">
        <x:v>33.93</x:v>
      </x:c>
      <x:c r="J211" s="10" t="n">
        <x:v>21.22</x:v>
      </x:c>
      <x:c r="K211" s="10" t="n">
        <x:v>72947.46</x:v>
      </x:c>
      <x:c r="L211" s="10" t="n">
        <x:v>76512.15</x:v>
      </x:c>
      <x:c r="M211" s="10" t="n">
        <x:v>41792.16</x:v>
      </x:c>
      <x:c r="N211" s="10" t="n">
        <x:v>47851.1</x:v>
      </x:c>
    </x:row>
    <x:row r="212">
      <x:c r="A212" t="str">
        <x:v>2025-11</x:v>
      </x:c>
      <x:c r="B212" t="str">
        <x:v>AT-011</x:v>
      </x:c>
      <x:c r="C212" t="str">
        <x:v>Office Supplies</x:v>
      </x:c>
      <x:c r="D212" t="str">
        <x:v>Office Supplies Product 1</x:v>
      </x:c>
      <x:c r="E212" s="10" t="n">
        <x:v>1461</x:v>
      </x:c>
      <x:c r="F212" s="10" t="n">
        <x:v>28.64</x:v>
      </x:c>
      <x:c r="G212" s="10" t="n">
        <x:v>16.04</x:v>
      </x:c>
      <x:c r="H212" s="10" t="n">
        <x:v>1753</x:v>
      </x:c>
      <x:c r="I212" s="10" t="n">
        <x:v>27.48</x:v>
      </x:c>
      <x:c r="J212" s="10" t="n">
        <x:v>17.74</x:v>
      </x:c>
      <x:c r="K212" s="10" t="n">
        <x:v>41843.04</x:v>
      </x:c>
      <x:c r="L212" s="10" t="n">
        <x:v>48172.44</x:v>
      </x:c>
      <x:c r="M212" s="10" t="n">
        <x:v>23434.44</x:v>
      </x:c>
      <x:c r="N212" s="10" t="n">
        <x:v>31098.22</x:v>
      </x:c>
    </x:row>
    <x:row r="213">
      <x:c r="A213" t="str">
        <x:v>2025-11</x:v>
      </x:c>
      <x:c r="B213" t="str">
        <x:v>AT-012</x:v>
      </x:c>
      <x:c r="C213" t="str">
        <x:v>Office Supplies</x:v>
      </x:c>
      <x:c r="D213" t="str">
        <x:v>Office Supplies Product 2</x:v>
      </x:c>
      <x:c r="E213" s="10" t="n">
        <x:v>1550</x:v>
      </x:c>
      <x:c r="F213" s="10" t="n">
        <x:v>32.22</x:v>
      </x:c>
      <x:c r="G213" s="10" t="n">
        <x:v>18.43</x:v>
      </x:c>
      <x:c r="H213" s="10" t="n">
        <x:v>1652</x:v>
      </x:c>
      <x:c r="I213" s="10" t="n">
        <x:v>31.93</x:v>
      </x:c>
      <x:c r="J213" s="10" t="n">
        <x:v>20.49</x:v>
      </x:c>
      <x:c r="K213" s="10" t="n">
        <x:v>49941</x:v>
      </x:c>
      <x:c r="L213" s="10" t="n">
        <x:v>52748.36</x:v>
      </x:c>
      <x:c r="M213" s="10" t="n">
        <x:v>28566.5</x:v>
      </x:c>
      <x:c r="N213" s="10" t="n">
        <x:v>33849.48</x:v>
      </x:c>
    </x:row>
    <x:row r="214">
      <x:c r="A214" t="str">
        <x:v>2025-11</x:v>
      </x:c>
      <x:c r="B214" t="str">
        <x:v>AT-013</x:v>
      </x:c>
      <x:c r="C214" t="str">
        <x:v>Office Supplies</x:v>
      </x:c>
      <x:c r="D214" t="str">
        <x:v>Office Supplies Product 3</x:v>
      </x:c>
      <x:c r="E214" s="10" t="n">
        <x:v>1734</x:v>
      </x:c>
      <x:c r="F214" s="10" t="n">
        <x:v>35.8</x:v>
      </x:c>
      <x:c r="G214" s="10" t="n">
        <x:v>20.91</x:v>
      </x:c>
      <x:c r="H214" s="10" t="n">
        <x:v>1929</x:v>
      </x:c>
      <x:c r="I214" s="10" t="n">
        <x:v>34.93</x:v>
      </x:c>
      <x:c r="J214" s="10" t="n">
        <x:v>23.31</x:v>
      </x:c>
      <x:c r="K214" s="10" t="n">
        <x:v>62077.2</x:v>
      </x:c>
      <x:c r="L214" s="10" t="n">
        <x:v>67379.97</x:v>
      </x:c>
      <x:c r="M214" s="10" t="n">
        <x:v>36257.94</x:v>
      </x:c>
      <x:c r="N214" s="10" t="n">
        <x:v>44964.99</x:v>
      </x:c>
    </x:row>
    <x:row r="215">
      <x:c r="A215" t="str">
        <x:v>2025-11</x:v>
      </x:c>
      <x:c r="B215" t="str">
        <x:v>AT-014</x:v>
      </x:c>
      <x:c r="C215" t="str">
        <x:v>Office Supplies</x:v>
      </x:c>
      <x:c r="D215" t="str">
        <x:v>Office Supplies Product 4</x:v>
      </x:c>
      <x:c r="E215" s="10" t="n">
        <x:v>1902</x:v>
      </x:c>
      <x:c r="F215" s="10" t="n">
        <x:v>39.38</x:v>
      </x:c>
      <x:c r="G215" s="10" t="n">
        <x:v>23.47</x:v>
      </x:c>
      <x:c r="H215" s="10" t="n">
        <x:v>1878</x:v>
      </x:c>
      <x:c r="I215" s="10" t="n">
        <x:v>37.87</x:v>
      </x:c>
      <x:c r="J215" s="10" t="n">
        <x:v>26.11</x:v>
      </x:c>
      <x:c r="K215" s="10" t="n">
        <x:v>74900.76</x:v>
      </x:c>
      <x:c r="L215" s="10" t="n">
        <x:v>71119.86</x:v>
      </x:c>
      <x:c r="M215" s="10" t="n">
        <x:v>44639.94</x:v>
      </x:c>
      <x:c r="N215" s="10" t="n">
        <x:v>49034.58</x:v>
      </x:c>
    </x:row>
    <x:row r="216">
      <x:c r="A216" t="str">
        <x:v>2025-11</x:v>
      </x:c>
      <x:c r="B216" t="str">
        <x:v>AT-015</x:v>
      </x:c>
      <x:c r="C216" t="str">
        <x:v>Office Supplies</x:v>
      </x:c>
      <x:c r="D216" t="str">
        <x:v>Office Supplies Product 5</x:v>
      </x:c>
      <x:c r="E216" s="10" t="n">
        <x:v>2045</x:v>
      </x:c>
      <x:c r="F216" s="10" t="n">
        <x:v>42.95</x:v>
      </x:c>
      <x:c r="G216" s="10" t="n">
        <x:v>26.11</x:v>
      </x:c>
      <x:c r="H216" s="10" t="n">
        <x:v>1915</x:v>
      </x:c>
      <x:c r="I216" s="10" t="n">
        <x:v>43.88</x:v>
      </x:c>
      <x:c r="J216" s="10" t="n">
        <x:v>27.78</x:v>
      </x:c>
      <x:c r="K216" s="10" t="n">
        <x:v>87832.75</x:v>
      </x:c>
      <x:c r="L216" s="10" t="n">
        <x:v>84030.2</x:v>
      </x:c>
      <x:c r="M216" s="10" t="n">
        <x:v>53394.95</x:v>
      </x:c>
      <x:c r="N216" s="10" t="n">
        <x:v>53198.7</x:v>
      </x:c>
    </x:row>
    <x:row r="217">
      <x:c r="A217" t="str">
        <x:v>2025-11</x:v>
      </x:c>
      <x:c r="B217" t="str">
        <x:v>AT-016</x:v>
      </x:c>
      <x:c r="C217" t="str">
        <x:v>Lifestyle Accessories</x:v>
      </x:c>
      <x:c r="D217" t="str">
        <x:v>Lifestyle Accessories Product 1</x:v>
      </x:c>
      <x:c r="E217" s="10" t="n">
        <x:v>1300</x:v>
      </x:c>
      <x:c r="F217" s="10" t="n">
        <x:v>36.82</x:v>
      </x:c>
      <x:c r="G217" s="10" t="n">
        <x:v>21.91</x:v>
      </x:c>
      <x:c r="H217" s="10" t="n">
        <x:v>1259</x:v>
      </x:c>
      <x:c r="I217" s="10" t="n">
        <x:v>38.2</x:v>
      </x:c>
      <x:c r="J217" s="10" t="n">
        <x:v>24.64</x:v>
      </x:c>
      <x:c r="K217" s="10" t="n">
        <x:v>47866</x:v>
      </x:c>
      <x:c r="L217" s="10" t="n">
        <x:v>48093.8</x:v>
      </x:c>
      <x:c r="M217" s="10" t="n">
        <x:v>28483</x:v>
      </x:c>
      <x:c r="N217" s="10" t="n">
        <x:v>31021.76</x:v>
      </x:c>
    </x:row>
    <x:row r="218">
      <x:c r="A218" t="str">
        <x:v>2025-11</x:v>
      </x:c>
      <x:c r="B218" t="str">
        <x:v>AT-017</x:v>
      </x:c>
      <x:c r="C218" t="str">
        <x:v>Lifestyle Accessories</x:v>
      </x:c>
      <x:c r="D218" t="str">
        <x:v>Lifestyle Accessories Product 2</x:v>
      </x:c>
      <x:c r="E218" s="10" t="n">
        <x:v>1468</x:v>
      </x:c>
      <x:c r="F218" s="10" t="n">
        <x:v>40.4</x:v>
      </x:c>
      <x:c r="G218" s="10" t="n">
        <x:v>24.52</x:v>
      </x:c>
      <x:c r="H218" s="10" t="n">
        <x:v>1693</x:v>
      </x:c>
      <x:c r="I218" s="10" t="n">
        <x:v>40.33</x:v>
      </x:c>
      <x:c r="J218" s="10" t="n">
        <x:v>27.69</x:v>
      </x:c>
      <x:c r="K218" s="10" t="n">
        <x:v>59307.2</x:v>
      </x:c>
      <x:c r="L218" s="10" t="n">
        <x:v>68278.69</x:v>
      </x:c>
      <x:c r="M218" s="10" t="n">
        <x:v>35995.36</x:v>
      </x:c>
      <x:c r="N218" s="10" t="n">
        <x:v>46879.17</x:v>
      </x:c>
    </x:row>
    <x:row r="219">
      <x:c r="A219" t="str">
        <x:v>2025-11</x:v>
      </x:c>
      <x:c r="B219" t="str">
        <x:v>AT-018</x:v>
      </x:c>
      <x:c r="C219" t="str">
        <x:v>Lifestyle Accessories</x:v>
      </x:c>
      <x:c r="D219" t="str">
        <x:v>Lifestyle Accessories Product 3</x:v>
      </x:c>
      <x:c r="E219" s="10" t="n">
        <x:v>1654</x:v>
      </x:c>
      <x:c r="F219" s="10" t="n">
        <x:v>43.98</x:v>
      </x:c>
      <x:c r="G219" s="10" t="n">
        <x:v>27.22</x:v>
      </x:c>
      <x:c r="H219" s="10" t="n">
        <x:v>1990</x:v>
      </x:c>
      <x:c r="I219" s="10" t="n">
        <x:v>42.25</x:v>
      </x:c>
      <x:c r="J219" s="10" t="n">
        <x:v>29.53</x:v>
      </x:c>
      <x:c r="K219" s="10" t="n">
        <x:v>72742.92</x:v>
      </x:c>
      <x:c r="L219" s="10" t="n">
        <x:v>84077.5</x:v>
      </x:c>
      <x:c r="M219" s="10" t="n">
        <x:v>45021.88</x:v>
      </x:c>
      <x:c r="N219" s="10" t="n">
        <x:v>58764.7</x:v>
      </x:c>
    </x:row>
    <x:row r="220">
      <x:c r="A220" t="str">
        <x:v>2025-11</x:v>
      </x:c>
      <x:c r="B220" t="str">
        <x:v>AT-019</x:v>
      </x:c>
      <x:c r="C220" t="str">
        <x:v>Lifestyle Accessories</x:v>
      </x:c>
      <x:c r="D220" t="str">
        <x:v>Lifestyle Accessories Product 4</x:v>
      </x:c>
      <x:c r="E220" s="10" t="n">
        <x:v>1732</x:v>
      </x:c>
      <x:c r="F220" s="10" t="n">
        <x:v>47.56</x:v>
      </x:c>
      <x:c r="G220" s="10" t="n">
        <x:v>30.01</x:v>
      </x:c>
      <x:c r="H220" s="10" t="n">
        <x:v>1777</x:v>
      </x:c>
      <x:c r="I220" s="10" t="n">
        <x:v>47.64</x:v>
      </x:c>
      <x:c r="J220" s="10" t="n">
        <x:v>33.67</x:v>
      </x:c>
      <x:c r="K220" s="10" t="n">
        <x:v>82373.92</x:v>
      </x:c>
      <x:c r="L220" s="10" t="n">
        <x:v>84656.28</x:v>
      </x:c>
      <x:c r="M220" s="10" t="n">
        <x:v>51977.32</x:v>
      </x:c>
      <x:c r="N220" s="10" t="n">
        <x:v>59831.59</x:v>
      </x:c>
    </x:row>
    <x:row r="221">
      <x:c r="A221" t="str">
        <x:v>2025-11</x:v>
      </x:c>
      <x:c r="B221" t="str">
        <x:v>AT-020</x:v>
      </x:c>
      <x:c r="C221" t="str">
        <x:v>Lifestyle Accessories</x:v>
      </x:c>
      <x:c r="D221" t="str">
        <x:v>Lifestyle Accessories Product 5</x:v>
      </x:c>
      <x:c r="E221" s="10" t="n">
        <x:v>1952</x:v>
      </x:c>
      <x:c r="F221" s="10" t="n">
        <x:v>51.14</x:v>
      </x:c>
      <x:c r="G221" s="10" t="n">
        <x:v>32.88</x:v>
      </x:c>
      <x:c r="H221" s="10" t="n">
        <x:v>1977</x:v>
      </x:c>
      <x:c r="I221" s="10" t="n">
        <x:v>52.09</x:v>
      </x:c>
      <x:c r="J221" s="10" t="n">
        <x:v>34.78</x:v>
      </x:c>
      <x:c r="K221" s="10" t="n">
        <x:v>99825.28</x:v>
      </x:c>
      <x:c r="L221" s="10" t="n">
        <x:v>102981.93</x:v>
      </x:c>
      <x:c r="M221" s="10" t="n">
        <x:v>64181.76</x:v>
      </x:c>
      <x:c r="N221" s="10" t="n">
        <x:v>68760.06</x:v>
      </x:c>
    </x:row>
    <x:row r="222">
      <x:c r="A222" t="str">
        <x:v>2025-12</x:v>
      </x:c>
      <x:c r="B222" t="str">
        <x:v>AT-001</x:v>
      </x:c>
      <x:c r="C222" t="str">
        <x:v>Home Essentials</x:v>
      </x:c>
      <x:c r="D222" t="str">
        <x:v>Home Essentials Product 1</x:v>
      </x:c>
      <x:c r="E222" s="10" t="n">
        <x:v>1892</x:v>
      </x:c>
      <x:c r="F222" s="10" t="n">
        <x:v>12.3</x:v>
      </x:c>
      <x:c r="G222" s="10" t="n">
        <x:v>6.03</x:v>
      </x:c>
      <x:c r="H222" s="10" t="n">
        <x:v>2116</x:v>
      </x:c>
      <x:c r="I222" s="10" t="n">
        <x:v>11.85</x:v>
      </x:c>
      <x:c r="J222" s="10" t="n">
        <x:v>6.37</x:v>
      </x:c>
      <x:c r="K222" s="10" t="n">
        <x:v>23271.6</x:v>
      </x:c>
      <x:c r="L222" s="10" t="n">
        <x:v>25074.6</x:v>
      </x:c>
      <x:c r="M222" s="10" t="n">
        <x:v>11408.76</x:v>
      </x:c>
      <x:c r="N222" s="10" t="n">
        <x:v>13478.92</x:v>
      </x:c>
    </x:row>
    <x:row r="223">
      <x:c r="A223" t="str">
        <x:v>2025-12</x:v>
      </x:c>
      <x:c r="B223" t="str">
        <x:v>AT-002</x:v>
      </x:c>
      <x:c r="C223" t="str">
        <x:v>Home Essentials</x:v>
      </x:c>
      <x:c r="D223" t="str">
        <x:v>Home Essentials Product 2</x:v>
      </x:c>
      <x:c r="E223" s="10" t="n">
        <x:v>2133</x:v>
      </x:c>
      <x:c r="F223" s="10" t="n">
        <x:v>15.89</x:v>
      </x:c>
      <x:c r="G223" s="10" t="n">
        <x:v>7.98</x:v>
      </x:c>
      <x:c r="H223" s="10" t="n">
        <x:v>2309</x:v>
      </x:c>
      <x:c r="I223" s="10" t="n">
        <x:v>16.21</x:v>
      </x:c>
      <x:c r="J223" s="10" t="n">
        <x:v>9.04</x:v>
      </x:c>
      <x:c r="K223" s="10" t="n">
        <x:v>33893.37</x:v>
      </x:c>
      <x:c r="L223" s="10" t="n">
        <x:v>37428.89</x:v>
      </x:c>
      <x:c r="M223" s="10" t="n">
        <x:v>17021.34</x:v>
      </x:c>
      <x:c r="N223" s="10" t="n">
        <x:v>20873.36</x:v>
      </x:c>
    </x:row>
    <x:row r="224">
      <x:c r="A224" t="str">
        <x:v>2025-12</x:v>
      </x:c>
      <x:c r="B224" t="str">
        <x:v>AT-003</x:v>
      </x:c>
      <x:c r="C224" t="str">
        <x:v>Home Essentials</x:v>
      </x:c>
      <x:c r="D224" t="str">
        <x:v>Home Essentials Product 3</x:v>
      </x:c>
      <x:c r="E224" s="10" t="n">
        <x:v>2306</x:v>
      </x:c>
      <x:c r="F224" s="10" t="n">
        <x:v>19.47</x:v>
      </x:c>
      <x:c r="G224" s="10" t="n">
        <x:v>10.01</x:v>
      </x:c>
      <x:c r="H224" s="10" t="n">
        <x:v>2125</x:v>
      </x:c>
      <x:c r="I224" s="10" t="n">
        <x:v>18.76</x:v>
      </x:c>
      <x:c r="J224" s="10" t="n">
        <x:v>10.77</x:v>
      </x:c>
      <x:c r="K224" s="10" t="n">
        <x:v>44897.82</x:v>
      </x:c>
      <x:c r="L224" s="10" t="n">
        <x:v>39865</x:v>
      </x:c>
      <x:c r="M224" s="10" t="n">
        <x:v>23083.06</x:v>
      </x:c>
      <x:c r="N224" s="10" t="n">
        <x:v>22886.25</x:v>
      </x:c>
    </x:row>
    <x:row r="225">
      <x:c r="A225" t="str">
        <x:v>2025-12</x:v>
      </x:c>
      <x:c r="B225" t="str">
        <x:v>AT-004</x:v>
      </x:c>
      <x:c r="C225" t="str">
        <x:v>Home Essentials</x:v>
      </x:c>
      <x:c r="D225" t="str">
        <x:v>Home Essentials Product 4</x:v>
      </x:c>
      <x:c r="E225" s="10" t="n">
        <x:v>2368</x:v>
      </x:c>
      <x:c r="F225" s="10" t="n">
        <x:v>23.06</x:v>
      </x:c>
      <x:c r="G225" s="10" t="n">
        <x:v>12.13</x:v>
      </x:c>
      <x:c r="H225" s="10" t="n">
        <x:v>2191</x:v>
      </x:c>
      <x:c r="I225" s="10" t="n">
        <x:v>22.15</x:v>
      </x:c>
      <x:c r="J225" s="10" t="n">
        <x:v>13.35</x:v>
      </x:c>
      <x:c r="K225" s="10" t="n">
        <x:v>54606.08</x:v>
      </x:c>
      <x:c r="L225" s="10" t="n">
        <x:v>48530.65</x:v>
      </x:c>
      <x:c r="M225" s="10" t="n">
        <x:v>28723.84</x:v>
      </x:c>
      <x:c r="N225" s="10" t="n">
        <x:v>29249.85</x:v>
      </x:c>
    </x:row>
    <x:row r="226">
      <x:c r="A226" t="str">
        <x:v>2025-12</x:v>
      </x:c>
      <x:c r="B226" t="str">
        <x:v>AT-005</x:v>
      </x:c>
      <x:c r="C226" t="str">
        <x:v>Home Essentials</x:v>
      </x:c>
      <x:c r="D226" t="str">
        <x:v>Home Essentials Product 5</x:v>
      </x:c>
      <x:c r="E226" s="10" t="n">
        <x:v>2643</x:v>
      </x:c>
      <x:c r="F226" s="10" t="n">
        <x:v>26.65</x:v>
      </x:c>
      <x:c r="G226" s="10" t="n">
        <x:v>14.34</x:v>
      </x:c>
      <x:c r="H226" s="10" t="n">
        <x:v>2519</x:v>
      </x:c>
      <x:c r="I226" s="10" t="n">
        <x:v>26.01</x:v>
      </x:c>
      <x:c r="J226" s="10" t="n">
        <x:v>15.2</x:v>
      </x:c>
      <x:c r="K226" s="10" t="n">
        <x:v>70435.95</x:v>
      </x:c>
      <x:c r="L226" s="10" t="n">
        <x:v>65519.19</x:v>
      </x:c>
      <x:c r="M226" s="10" t="n">
        <x:v>37900.62</x:v>
      </x:c>
      <x:c r="N226" s="10" t="n">
        <x:v>38288.8</x:v>
      </x:c>
    </x:row>
    <x:row r="227">
      <x:c r="A227" t="str">
        <x:v>2025-12</x:v>
      </x:c>
      <x:c r="B227" t="str">
        <x:v>AT-006</x:v>
      </x:c>
      <x:c r="C227" t="str">
        <x:v>Personal Care</x:v>
      </x:c>
      <x:c r="D227" t="str">
        <x:v>Personal Care Product 1</x:v>
      </x:c>
      <x:c r="E227" s="10" t="n">
        <x:v>1777</x:v>
      </x:c>
      <x:c r="F227" s="10" t="n">
        <x:v>20.5</x:v>
      </x:c>
      <x:c r="G227" s="10" t="n">
        <x:v>10.76</x:v>
      </x:c>
      <x:c r="H227" s="10" t="n">
        <x:v>1970</x:v>
      </x:c>
      <x:c r="I227" s="10" t="n">
        <x:v>20.95</x:v>
      </x:c>
      <x:c r="J227" s="10" t="n">
        <x:v>11.38</x:v>
      </x:c>
      <x:c r="K227" s="10" t="n">
        <x:v>36428.5</x:v>
      </x:c>
      <x:c r="L227" s="10" t="n">
        <x:v>41271.5</x:v>
      </x:c>
      <x:c r="M227" s="10" t="n">
        <x:v>19120.52</x:v>
      </x:c>
      <x:c r="N227" s="10" t="n">
        <x:v>22418.6</x:v>
      </x:c>
    </x:row>
    <x:row r="228">
      <x:c r="A228" t="str">
        <x:v>2025-12</x:v>
      </x:c>
      <x:c r="B228" t="str">
        <x:v>AT-007</x:v>
      </x:c>
      <x:c r="C228" t="str">
        <x:v>Personal Care</x:v>
      </x:c>
      <x:c r="D228" t="str">
        <x:v>Personal Care Product 2</x:v>
      </x:c>
      <x:c r="E228" s="10" t="n">
        <x:v>1977</x:v>
      </x:c>
      <x:c r="F228" s="10" t="n">
        <x:v>24.09</x:v>
      </x:c>
      <x:c r="G228" s="10" t="n">
        <x:v>12.94</x:v>
      </x:c>
      <x:c r="H228" s="10" t="n">
        <x:v>1874</x:v>
      </x:c>
      <x:c r="I228" s="10" t="n">
        <x:v>25.12</x:v>
      </x:c>
      <x:c r="J228" s="10" t="n">
        <x:v>14.09</x:v>
      </x:c>
      <x:c r="K228" s="10" t="n">
        <x:v>47625.93</x:v>
      </x:c>
      <x:c r="L228" s="10" t="n">
        <x:v>47074.88</x:v>
      </x:c>
      <x:c r="M228" s="10" t="n">
        <x:v>25582.38</x:v>
      </x:c>
      <x:c r="N228" s="10" t="n">
        <x:v>26404.66</x:v>
      </x:c>
    </x:row>
    <x:row r="229">
      <x:c r="A229" t="str">
        <x:v>2025-12</x:v>
      </x:c>
      <x:c r="B229" t="str">
        <x:v>AT-008</x:v>
      </x:c>
      <x:c r="C229" t="str">
        <x:v>Personal Care</x:v>
      </x:c>
      <x:c r="D229" t="str">
        <x:v>Personal Care Product 3</x:v>
      </x:c>
      <x:c r="E229" s="10" t="n">
        <x:v>2115</x:v>
      </x:c>
      <x:c r="F229" s="10" t="n">
        <x:v>27.67</x:v>
      </x:c>
      <x:c r="G229" s="10" t="n">
        <x:v>15.19</x:v>
      </x:c>
      <x:c r="H229" s="10" t="n">
        <x:v>2213</x:v>
      </x:c>
      <x:c r="I229" s="10" t="n">
        <x:v>26.92</x:v>
      </x:c>
      <x:c r="J229" s="10" t="n">
        <x:v>16.81</x:v>
      </x:c>
      <x:c r="K229" s="10" t="n">
        <x:v>58522.05</x:v>
      </x:c>
      <x:c r="L229" s="10" t="n">
        <x:v>59573.96</x:v>
      </x:c>
      <x:c r="M229" s="10" t="n">
        <x:v>32126.85</x:v>
      </x:c>
      <x:c r="N229" s="10" t="n">
        <x:v>37200.53</x:v>
      </x:c>
    </x:row>
    <x:row r="230">
      <x:c r="A230" t="str">
        <x:v>2025-12</x:v>
      </x:c>
      <x:c r="B230" t="str">
        <x:v>AT-009</x:v>
      </x:c>
      <x:c r="C230" t="str">
        <x:v>Personal Care</x:v>
      </x:c>
      <x:c r="D230" t="str">
        <x:v>Personal Care Product 4</x:v>
      </x:c>
      <x:c r="E230" s="10" t="n">
        <x:v>2292</x:v>
      </x:c>
      <x:c r="F230" s="10" t="n">
        <x:v>31.26</x:v>
      </x:c>
      <x:c r="G230" s="10" t="n">
        <x:v>17.54</x:v>
      </x:c>
      <x:c r="H230" s="10" t="n">
        <x:v>2145</x:v>
      </x:c>
      <x:c r="I230" s="10" t="n">
        <x:v>31.48</x:v>
      </x:c>
      <x:c r="J230" s="10" t="n">
        <x:v>19.57</x:v>
      </x:c>
      <x:c r="K230" s="10" t="n">
        <x:v>71647.92</x:v>
      </x:c>
      <x:c r="L230" s="10" t="n">
        <x:v>67524.6</x:v>
      </x:c>
      <x:c r="M230" s="10" t="n">
        <x:v>40201.68</x:v>
      </x:c>
      <x:c r="N230" s="10" t="n">
        <x:v>41977.65</x:v>
      </x:c>
    </x:row>
    <x:row r="231">
      <x:c r="A231" t="str">
        <x:v>2025-12</x:v>
      </x:c>
      <x:c r="B231" t="str">
        <x:v>AT-010</x:v>
      </x:c>
      <x:c r="C231" t="str">
        <x:v>Personal Care</x:v>
      </x:c>
      <x:c r="D231" t="str">
        <x:v>Personal Care Product 5</x:v>
      </x:c>
      <x:c r="E231" s="10" t="n">
        <x:v>2470</x:v>
      </x:c>
      <x:c r="F231" s="10" t="n">
        <x:v>34.85</x:v>
      </x:c>
      <x:c r="G231" s="10" t="n">
        <x:v>19.97</x:v>
      </x:c>
      <x:c r="H231" s="10" t="n">
        <x:v>2795</x:v>
      </x:c>
      <x:c r="I231" s="10" t="n">
        <x:v>34.32</x:v>
      </x:c>
      <x:c r="J231" s="10" t="n">
        <x:v>22.51</x:v>
      </x:c>
      <x:c r="K231" s="10" t="n">
        <x:v>86079.5</x:v>
      </x:c>
      <x:c r="L231" s="10" t="n">
        <x:v>95924.4</x:v>
      </x:c>
      <x:c r="M231" s="10" t="n">
        <x:v>49325.9</x:v>
      </x:c>
      <x:c r="N231" s="10" t="n">
        <x:v>62915.45</x:v>
      </x:c>
    </x:row>
    <x:row r="232">
      <x:c r="A232" t="str">
        <x:v>2025-12</x:v>
      </x:c>
      <x:c r="B232" t="str">
        <x:v>AT-011</x:v>
      </x:c>
      <x:c r="C232" t="str">
        <x:v>Office Supplies</x:v>
      </x:c>
      <x:c r="D232" t="str">
        <x:v>Office Supplies Product 1</x:v>
      </x:c>
      <x:c r="E232" s="10" t="n">
        <x:v>1625</x:v>
      </x:c>
      <x:c r="F232" s="10" t="n">
        <x:v>28.7</x:v>
      </x:c>
      <x:c r="G232" s="10" t="n">
        <x:v>16.07</x:v>
      </x:c>
      <x:c r="H232" s="10" t="n">
        <x:v>1529</x:v>
      </x:c>
      <x:c r="I232" s="10" t="n">
        <x:v>29.78</x:v>
      </x:c>
      <x:c r="J232" s="10" t="n">
        <x:v>18.28</x:v>
      </x:c>
      <x:c r="K232" s="10" t="n">
        <x:v>46637.5</x:v>
      </x:c>
      <x:c r="L232" s="10" t="n">
        <x:v>45533.62</x:v>
      </x:c>
      <x:c r="M232" s="10" t="n">
        <x:v>26113.75</x:v>
      </x:c>
      <x:c r="N232" s="10" t="n">
        <x:v>27950.12</x:v>
      </x:c>
    </x:row>
    <x:row r="233">
      <x:c r="A233" t="str">
        <x:v>2025-12</x:v>
      </x:c>
      <x:c r="B233" t="str">
        <x:v>AT-012</x:v>
      </x:c>
      <x:c r="C233" t="str">
        <x:v>Office Supplies</x:v>
      </x:c>
      <x:c r="D233" t="str">
        <x:v>Office Supplies Product 2</x:v>
      </x:c>
      <x:c r="E233" s="10" t="n">
        <x:v>1872</x:v>
      </x:c>
      <x:c r="F233" s="10" t="n">
        <x:v>32.29</x:v>
      </x:c>
      <x:c r="G233" s="10" t="n">
        <x:v>18.47</x:v>
      </x:c>
      <x:c r="H233" s="10" t="n">
        <x:v>1880</x:v>
      </x:c>
      <x:c r="I233" s="10" t="n">
        <x:v>31.87</x:v>
      </x:c>
      <x:c r="J233" s="10" t="n">
        <x:v>20.46</x:v>
      </x:c>
      <x:c r="K233" s="10" t="n">
        <x:v>60446.88</x:v>
      </x:c>
      <x:c r="L233" s="10" t="n">
        <x:v>59915.6</x:v>
      </x:c>
      <x:c r="M233" s="10" t="n">
        <x:v>34575.84</x:v>
      </x:c>
      <x:c r="N233" s="10" t="n">
        <x:v>38464.8</x:v>
      </x:c>
    </x:row>
    <x:row r="234">
      <x:c r="A234" t="str">
        <x:v>2025-12</x:v>
      </x:c>
      <x:c r="B234" t="str">
        <x:v>AT-013</x:v>
      </x:c>
      <x:c r="C234" t="str">
        <x:v>Office Supplies</x:v>
      </x:c>
      <x:c r="D234" t="str">
        <x:v>Office Supplies Product 3</x:v>
      </x:c>
      <x:c r="E234" s="10" t="n">
        <x:v>2027</x:v>
      </x:c>
      <x:c r="F234" s="10" t="n">
        <x:v>35.88</x:v>
      </x:c>
      <x:c r="G234" s="10" t="n">
        <x:v>20.95</x:v>
      </x:c>
      <x:c r="H234" s="10" t="n">
        <x:v>2021</x:v>
      </x:c>
      <x:c r="I234" s="10" t="n">
        <x:v>36.63</x:v>
      </x:c>
      <x:c r="J234" s="10" t="n">
        <x:v>23.14</x:v>
      </x:c>
      <x:c r="K234" s="10" t="n">
        <x:v>72728.76</x:v>
      </x:c>
      <x:c r="L234" s="10" t="n">
        <x:v>74029.23</x:v>
      </x:c>
      <x:c r="M234" s="10" t="n">
        <x:v>42465.65</x:v>
      </x:c>
      <x:c r="N234" s="10" t="n">
        <x:v>46765.94</x:v>
      </x:c>
    </x:row>
    <x:row r="235">
      <x:c r="A235" t="str">
        <x:v>2025-12</x:v>
      </x:c>
      <x:c r="B235" t="str">
        <x:v>AT-014</x:v>
      </x:c>
      <x:c r="C235" t="str">
        <x:v>Office Supplies</x:v>
      </x:c>
      <x:c r="D235" t="str">
        <x:v>Office Supplies Product 4</x:v>
      </x:c>
      <x:c r="E235" s="10" t="n">
        <x:v>2187</x:v>
      </x:c>
      <x:c r="F235" s="10" t="n">
        <x:v>39.46</x:v>
      </x:c>
      <x:c r="G235" s="10" t="n">
        <x:v>23.52</x:v>
      </x:c>
      <x:c r="H235" s="10" t="n">
        <x:v>2344</x:v>
      </x:c>
      <x:c r="I235" s="10" t="n">
        <x:v>39.19</x:v>
      </x:c>
      <x:c r="J235" s="10" t="n">
        <x:v>25.93</x:v>
      </x:c>
      <x:c r="K235" s="10" t="n">
        <x:v>86299.02</x:v>
      </x:c>
      <x:c r="L235" s="10" t="n">
        <x:v>91861.36</x:v>
      </x:c>
      <x:c r="M235" s="10" t="n">
        <x:v>51438.24</x:v>
      </x:c>
      <x:c r="N235" s="10" t="n">
        <x:v>60779.92</x:v>
      </x:c>
    </x:row>
    <x:row r="236">
      <x:c r="A236" t="str">
        <x:v>2025-12</x:v>
      </x:c>
      <x:c r="B236" t="str">
        <x:v>AT-015</x:v>
      </x:c>
      <x:c r="C236" t="str">
        <x:v>Office Supplies</x:v>
      </x:c>
      <x:c r="D236" t="str">
        <x:v>Office Supplies Product 5</x:v>
      </x:c>
      <x:c r="E236" s="10" t="n">
        <x:v>2285</x:v>
      </x:c>
      <x:c r="F236" s="10" t="n">
        <x:v>43.05</x:v>
      </x:c>
      <x:c r="G236" s="10" t="n">
        <x:v>26.17</x:v>
      </x:c>
      <x:c r="H236" s="10" t="n">
        <x:v>2708</x:v>
      </x:c>
      <x:c r="I236" s="10" t="n">
        <x:v>44.09</x:v>
      </x:c>
      <x:c r="J236" s="10" t="n">
        <x:v>27.91</x:v>
      </x:c>
      <x:c r="K236" s="10" t="n">
        <x:v>98369.25</x:v>
      </x:c>
      <x:c r="L236" s="10" t="n">
        <x:v>119395.72</x:v>
      </x:c>
      <x:c r="M236" s="10" t="n">
        <x:v>59798.45</x:v>
      </x:c>
      <x:c r="N236" s="10" t="n">
        <x:v>75580.28</x:v>
      </x:c>
    </x:row>
    <x:row r="237">
      <x:c r="A237" t="str">
        <x:v>2025-12</x:v>
      </x:c>
      <x:c r="B237" t="str">
        <x:v>AT-016</x:v>
      </x:c>
      <x:c r="C237" t="str">
        <x:v>Lifestyle Accessories</x:v>
      </x:c>
      <x:c r="D237" t="str">
        <x:v>Lifestyle Accessories Product 1</x:v>
      </x:c>
      <x:c r="E237" s="10" t="n">
        <x:v>1555</x:v>
      </x:c>
      <x:c r="F237" s="10" t="n">
        <x:v>36.9</x:v>
      </x:c>
      <x:c r="G237" s="10" t="n">
        <x:v>21.96</x:v>
      </x:c>
      <x:c r="H237" s="10" t="n">
        <x:v>1678</x:v>
      </x:c>
      <x:c r="I237" s="10" t="n">
        <x:v>38.31</x:v>
      </x:c>
      <x:c r="J237" s="10" t="n">
        <x:v>24.21</x:v>
      </x:c>
      <x:c r="K237" s="10" t="n">
        <x:v>57379.5</x:v>
      </x:c>
      <x:c r="L237" s="10" t="n">
        <x:v>64284.18</x:v>
      </x:c>
      <x:c r="M237" s="10" t="n">
        <x:v>34147.8</x:v>
      </x:c>
      <x:c r="N237" s="10" t="n">
        <x:v>40624.38</x:v>
      </x:c>
    </x:row>
    <x:row r="238">
      <x:c r="A238" t="str">
        <x:v>2025-12</x:v>
      </x:c>
      <x:c r="B238" t="str">
        <x:v>AT-017</x:v>
      </x:c>
      <x:c r="C238" t="str">
        <x:v>Lifestyle Accessories</x:v>
      </x:c>
      <x:c r="D238" t="str">
        <x:v>Lifestyle Accessories Product 2</x:v>
      </x:c>
      <x:c r="E238" s="10" t="n">
        <x:v>1663</x:v>
      </x:c>
      <x:c r="F238" s="10" t="n">
        <x:v>40.49</x:v>
      </x:c>
      <x:c r="G238" s="10" t="n">
        <x:v>24.58</x:v>
      </x:c>
      <x:c r="H238" s="10" t="n">
        <x:v>1885</x:v>
      </x:c>
      <x:c r="I238" s="10" t="n">
        <x:v>41.48</x:v>
      </x:c>
      <x:c r="J238" s="10" t="n">
        <x:v>27.8</x:v>
      </x:c>
      <x:c r="K238" s="10" t="n">
        <x:v>67334.87</x:v>
      </x:c>
      <x:c r="L238" s="10" t="n">
        <x:v>78189.8</x:v>
      </x:c>
      <x:c r="M238" s="10" t="n">
        <x:v>40876.54</x:v>
      </x:c>
      <x:c r="N238" s="10" t="n">
        <x:v>52403</x:v>
      </x:c>
    </x:row>
    <x:row r="239">
      <x:c r="A239" t="str">
        <x:v>2025-12</x:v>
      </x:c>
      <x:c r="B239" t="str">
        <x:v>AT-018</x:v>
      </x:c>
      <x:c r="C239" t="str">
        <x:v>Lifestyle Accessories</x:v>
      </x:c>
      <x:c r="D239" t="str">
        <x:v>Lifestyle Accessories Product 3</x:v>
      </x:c>
      <x:c r="E239" s="10" t="n">
        <x:v>1860</x:v>
      </x:c>
      <x:c r="F239" s="10" t="n">
        <x:v>44.07</x:v>
      </x:c>
      <x:c r="G239" s="10" t="n">
        <x:v>27.28</x:v>
      </x:c>
      <x:c r="H239" s="10" t="n">
        <x:v>2011</x:v>
      </x:c>
      <x:c r="I239" s="10" t="n">
        <x:v>42.27</x:v>
      </x:c>
      <x:c r="J239" s="10" t="n">
        <x:v>29.1</x:v>
      </x:c>
      <x:c r="K239" s="10" t="n">
        <x:v>81970.2</x:v>
      </x:c>
      <x:c r="L239" s="10" t="n">
        <x:v>85004.97</x:v>
      </x:c>
      <x:c r="M239" s="10" t="n">
        <x:v>50740.8</x:v>
      </x:c>
      <x:c r="N239" s="10" t="n">
        <x:v>58520.1</x:v>
      </x:c>
    </x:row>
    <x:row r="240">
      <x:c r="A240" t="str">
        <x:v>2025-12</x:v>
      </x:c>
      <x:c r="B240" t="str">
        <x:v>AT-019</x:v>
      </x:c>
      <x:c r="C240" t="str">
        <x:v>Lifestyle Accessories</x:v>
      </x:c>
      <x:c r="D240" t="str">
        <x:v>Lifestyle Accessories Product 4</x:v>
      </x:c>
      <x:c r="E240" s="10" t="n">
        <x:v>2052</x:v>
      </x:c>
      <x:c r="F240" s="10" t="n">
        <x:v>47.66</x:v>
      </x:c>
      <x:c r="G240" s="10" t="n">
        <x:v>30.07</x:v>
      </x:c>
      <x:c r="H240" s="10" t="n">
        <x:v>2390</x:v>
      </x:c>
      <x:c r="I240" s="10" t="n">
        <x:v>47.32</x:v>
      </x:c>
      <x:c r="J240" s="10" t="n">
        <x:v>32.25</x:v>
      </x:c>
      <x:c r="K240" s="10" t="n">
        <x:v>97798.32</x:v>
      </x:c>
      <x:c r="L240" s="10" t="n">
        <x:v>113094.8</x:v>
      </x:c>
      <x:c r="M240" s="10" t="n">
        <x:v>61703.64</x:v>
      </x:c>
      <x:c r="N240" s="10" t="n">
        <x:v>77077.5</x:v>
      </x:c>
    </x:row>
    <x:row r="241">
      <x:c r="A241" t="str">
        <x:v>2025-12</x:v>
      </x:c>
      <x:c r="B241" t="str">
        <x:v>AT-020</x:v>
      </x:c>
      <x:c r="C241" t="str">
        <x:v>Lifestyle Accessories</x:v>
      </x:c>
      <x:c r="D241" t="str">
        <x:v>Lifestyle Accessories Product 5</x:v>
      </x:c>
      <x:c r="E241" s="10" t="n">
        <x:v>2259</x:v>
      </x:c>
      <x:c r="F241" s="10" t="n">
        <x:v>51.25</x:v>
      </x:c>
      <x:c r="G241" s="10" t="n">
        <x:v>32.95</x:v>
      </x:c>
      <x:c r="H241" s="10" t="n">
        <x:v>2466</x:v>
      </x:c>
      <x:c r="I241" s="10" t="n">
        <x:v>50.54</x:v>
      </x:c>
      <x:c r="J241" s="10" t="n">
        <x:v>36.14</x:v>
      </x:c>
      <x:c r="K241" s="10" t="n">
        <x:v>115773.75</x:v>
      </x:c>
      <x:c r="L241" s="10" t="n">
        <x:v>124631.64</x:v>
      </x:c>
      <x:c r="M241" s="10" t="n">
        <x:v>74434.05</x:v>
      </x:c>
      <x:c r="N241" s="10" t="n">
        <x:v>89121.24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23" hidden="0" customWidth="1"/>
    <x:col min="5" max="5" width="23" hidden="0" customWidth="1"/>
  </x:cols>
  <x:sheetData>
    <x:row r="1" ht="31" customHeight="1">
      <x:c r="A1" s="4" t="str">
        <x:v>Month</x:v>
      </x:c>
      <x:c r="B1" s="4" t="str">
        <x:v>Expense Category</x:v>
      </x:c>
      <x:c r="C1" s="4" t="str">
        <x:v>Cost Type</x:v>
      </x:c>
      <x:c r="D1" s="4" t="str">
        <x:v>Budget USD</x:v>
      </x:c>
      <x:c r="E1" s="4" t="str">
        <x:v>Actual USD</x:v>
      </x:c>
    </x:row>
    <x:row r="2">
      <x:c r="A2" t="str">
        <x:v>2025-01</x:v>
      </x:c>
      <x:c r="B2" t="str">
        <x:v>Payroll</x:v>
      </x:c>
      <x:c r="C2" t="str">
        <x:v>Fixed</x:v>
      </x:c>
      <x:c r="D2" s="14" t="n">
        <x:v>135000</x:v>
      </x:c>
      <x:c r="E2" s="14" t="n">
        <x:v>141392.73</x:v>
      </x:c>
    </x:row>
    <x:row r="3">
      <x:c r="A3" t="str">
        <x:v>2025-01</x:v>
      </x:c>
      <x:c r="B3" t="str">
        <x:v>Rent &amp; Facilities</x:v>
      </x:c>
      <x:c r="C3" t="str">
        <x:v>Fixed</x:v>
      </x:c>
      <x:c r="D3" s="14" t="n">
        <x:v>38000</x:v>
      </x:c>
      <x:c r="E3" s="14" t="n">
        <x:v>35992.18</x:v>
      </x:c>
    </x:row>
    <x:row r="4">
      <x:c r="A4" t="str">
        <x:v>2025-01</x:v>
      </x:c>
      <x:c r="B4" t="str">
        <x:v>Marketing</x:v>
      </x:c>
      <x:c r="C4" t="str">
        <x:v>Variable</x:v>
      </x:c>
      <x:c r="D4" s="14" t="n">
        <x:v>45000</x:v>
      </x:c>
      <x:c r="E4" s="14" t="n">
        <x:v>49362.2</x:v>
      </x:c>
    </x:row>
    <x:row r="5">
      <x:c r="A5" t="str">
        <x:v>2025-01</x:v>
      </x:c>
      <x:c r="B5" t="str">
        <x:v>Logistics</x:v>
      </x:c>
      <x:c r="C5" t="str">
        <x:v>Variable</x:v>
      </x:c>
      <x:c r="D5" s="14" t="n">
        <x:v>60000</x:v>
      </x:c>
      <x:c r="E5" s="14" t="n">
        <x:v>67940.09</x:v>
      </x:c>
    </x:row>
    <x:row r="6">
      <x:c r="A6" t="str">
        <x:v>2025-01</x:v>
      </x:c>
      <x:c r="B6" t="str">
        <x:v>Technology</x:v>
      </x:c>
      <x:c r="C6" t="str">
        <x:v>Fixed</x:v>
      </x:c>
      <x:c r="D6" s="14" t="n">
        <x:v>20000</x:v>
      </x:c>
      <x:c r="E6" s="14" t="n">
        <x:v>21663.13</x:v>
      </x:c>
    </x:row>
    <x:row r="7">
      <x:c r="A7" t="str">
        <x:v>2025-01</x:v>
      </x:c>
      <x:c r="B7" t="str">
        <x:v>General &amp; Administrative</x:v>
      </x:c>
      <x:c r="C7" t="str">
        <x:v>Fixed</x:v>
      </x:c>
      <x:c r="D7" s="14" t="n">
        <x:v>32000</x:v>
      </x:c>
      <x:c r="E7" s="14" t="n">
        <x:v>33549.66</x:v>
      </x:c>
    </x:row>
    <x:row r="8">
      <x:c r="A8" t="str">
        <x:v>2025-02</x:v>
      </x:c>
      <x:c r="B8" t="str">
        <x:v>Payroll</x:v>
      </x:c>
      <x:c r="C8" t="str">
        <x:v>Fixed</x:v>
      </x:c>
      <x:c r="D8" s="14" t="n">
        <x:v>136620</x:v>
      </x:c>
      <x:c r="E8" s="14" t="n">
        <x:v>136450.85</x:v>
      </x:c>
    </x:row>
    <x:row r="9">
      <x:c r="A9" t="str">
        <x:v>2025-02</x:v>
      </x:c>
      <x:c r="B9" t="str">
        <x:v>Rent &amp; Facilities</x:v>
      </x:c>
      <x:c r="C9" t="str">
        <x:v>Fixed</x:v>
      </x:c>
      <x:c r="D9" s="14" t="n">
        <x:v>38456</x:v>
      </x:c>
      <x:c r="E9" s="14" t="n">
        <x:v>37596.1</x:v>
      </x:c>
    </x:row>
    <x:row r="10">
      <x:c r="A10" t="str">
        <x:v>2025-02</x:v>
      </x:c>
      <x:c r="B10" t="str">
        <x:v>Marketing</x:v>
      </x:c>
      <x:c r="C10" t="str">
        <x:v>Variable</x:v>
      </x:c>
      <x:c r="D10" s="14" t="n">
        <x:v>45540</x:v>
      </x:c>
      <x:c r="E10" s="14" t="n">
        <x:v>48982.2</x:v>
      </x:c>
    </x:row>
    <x:row r="11">
      <x:c r="A11" t="str">
        <x:v>2025-02</x:v>
      </x:c>
      <x:c r="B11" t="str">
        <x:v>Logistics</x:v>
      </x:c>
      <x:c r="C11" t="str">
        <x:v>Variable</x:v>
      </x:c>
      <x:c r="D11" s="14" t="n">
        <x:v>60720</x:v>
      </x:c>
      <x:c r="E11" s="14" t="n">
        <x:v>66149.48</x:v>
      </x:c>
    </x:row>
    <x:row r="12">
      <x:c r="A12" t="str">
        <x:v>2025-02</x:v>
      </x:c>
      <x:c r="B12" t="str">
        <x:v>Technology</x:v>
      </x:c>
      <x:c r="C12" t="str">
        <x:v>Fixed</x:v>
      </x:c>
      <x:c r="D12" s="14" t="n">
        <x:v>20240</x:v>
      </x:c>
      <x:c r="E12" s="14" t="n">
        <x:v>20373.89</x:v>
      </x:c>
    </x:row>
    <x:row r="13">
      <x:c r="A13" t="str">
        <x:v>2025-02</x:v>
      </x:c>
      <x:c r="B13" t="str">
        <x:v>General &amp; Administrative</x:v>
      </x:c>
      <x:c r="C13" t="str">
        <x:v>Fixed</x:v>
      </x:c>
      <x:c r="D13" s="14" t="n">
        <x:v>32384</x:v>
      </x:c>
      <x:c r="E13" s="14" t="n">
        <x:v>33787.13</x:v>
      </x:c>
    </x:row>
    <x:row r="14">
      <x:c r="A14" t="str">
        <x:v>2025-03</x:v>
      </x:c>
      <x:c r="B14" t="str">
        <x:v>Payroll</x:v>
      </x:c>
      <x:c r="C14" t="str">
        <x:v>Fixed</x:v>
      </x:c>
      <x:c r="D14" s="14" t="n">
        <x:v>138240</x:v>
      </x:c>
      <x:c r="E14" s="14" t="n">
        <x:v>134542.74</x:v>
      </x:c>
    </x:row>
    <x:row r="15">
      <x:c r="A15" t="str">
        <x:v>2025-03</x:v>
      </x:c>
      <x:c r="B15" t="str">
        <x:v>Rent &amp; Facilities</x:v>
      </x:c>
      <x:c r="C15" t="str">
        <x:v>Fixed</x:v>
      </x:c>
      <x:c r="D15" s="14" t="n">
        <x:v>38912</x:v>
      </x:c>
      <x:c r="E15" s="14" t="n">
        <x:v>37125.9</x:v>
      </x:c>
    </x:row>
    <x:row r="16">
      <x:c r="A16" t="str">
        <x:v>2025-03</x:v>
      </x:c>
      <x:c r="B16" t="str">
        <x:v>Marketing</x:v>
      </x:c>
      <x:c r="C16" t="str">
        <x:v>Variable</x:v>
      </x:c>
      <x:c r="D16" s="14" t="n">
        <x:v>46080</x:v>
      </x:c>
      <x:c r="E16" s="14" t="n">
        <x:v>48068.53</x:v>
      </x:c>
    </x:row>
    <x:row r="17">
      <x:c r="A17" t="str">
        <x:v>2025-03</x:v>
      </x:c>
      <x:c r="B17" t="str">
        <x:v>Logistics</x:v>
      </x:c>
      <x:c r="C17" t="str">
        <x:v>Variable</x:v>
      </x:c>
      <x:c r="D17" s="14" t="n">
        <x:v>61440</x:v>
      </x:c>
      <x:c r="E17" s="14" t="n">
        <x:v>66177.67</x:v>
      </x:c>
    </x:row>
    <x:row r="18">
      <x:c r="A18" t="str">
        <x:v>2025-03</x:v>
      </x:c>
      <x:c r="B18" t="str">
        <x:v>Technology</x:v>
      </x:c>
      <x:c r="C18" t="str">
        <x:v>Fixed</x:v>
      </x:c>
      <x:c r="D18" s="14" t="n">
        <x:v>20480</x:v>
      </x:c>
      <x:c r="E18" s="14" t="n">
        <x:v>21193.17</x:v>
      </x:c>
    </x:row>
    <x:row r="19">
      <x:c r="A19" t="str">
        <x:v>2025-03</x:v>
      </x:c>
      <x:c r="B19" t="str">
        <x:v>General &amp; Administrative</x:v>
      </x:c>
      <x:c r="C19" t="str">
        <x:v>Fixed</x:v>
      </x:c>
      <x:c r="D19" s="14" t="n">
        <x:v>32768</x:v>
      </x:c>
      <x:c r="E19" s="14" t="n">
        <x:v>34228.67</x:v>
      </x:c>
    </x:row>
    <x:row r="20">
      <x:c r="A20" t="str">
        <x:v>2025-04</x:v>
      </x:c>
      <x:c r="B20" t="str">
        <x:v>Payroll</x:v>
      </x:c>
      <x:c r="C20" t="str">
        <x:v>Fixed</x:v>
      </x:c>
      <x:c r="D20" s="14" t="n">
        <x:v>139860</x:v>
      </x:c>
      <x:c r="E20" s="14" t="n">
        <x:v>145951.39</x:v>
      </x:c>
    </x:row>
    <x:row r="21">
      <x:c r="A21" t="str">
        <x:v>2025-04</x:v>
      </x:c>
      <x:c r="B21" t="str">
        <x:v>Rent &amp; Facilities</x:v>
      </x:c>
      <x:c r="C21" t="str">
        <x:v>Fixed</x:v>
      </x:c>
      <x:c r="D21" s="14" t="n">
        <x:v>39368</x:v>
      </x:c>
      <x:c r="E21" s="14" t="n">
        <x:v>39906.46</x:v>
      </x:c>
    </x:row>
    <x:row r="22">
      <x:c r="A22" t="str">
        <x:v>2025-04</x:v>
      </x:c>
      <x:c r="B22" t="str">
        <x:v>Marketing</x:v>
      </x:c>
      <x:c r="C22" t="str">
        <x:v>Variable</x:v>
      </x:c>
      <x:c r="D22" s="14" t="n">
        <x:v>46620</x:v>
      </x:c>
      <x:c r="E22" s="14" t="n">
        <x:v>51209.41</x:v>
      </x:c>
    </x:row>
    <x:row r="23">
      <x:c r="A23" t="str">
        <x:v>2025-04</x:v>
      </x:c>
      <x:c r="B23" t="str">
        <x:v>Logistics</x:v>
      </x:c>
      <x:c r="C23" t="str">
        <x:v>Variable</x:v>
      </x:c>
      <x:c r="D23" s="14" t="n">
        <x:v>62160</x:v>
      </x:c>
      <x:c r="E23" s="14" t="n">
        <x:v>66939.3</x:v>
      </x:c>
    </x:row>
    <x:row r="24">
      <x:c r="A24" t="str">
        <x:v>2025-04</x:v>
      </x:c>
      <x:c r="B24" t="str">
        <x:v>Technology</x:v>
      </x:c>
      <x:c r="C24" t="str">
        <x:v>Fixed</x:v>
      </x:c>
      <x:c r="D24" s="14" t="n">
        <x:v>20720</x:v>
      </x:c>
      <x:c r="E24" s="14" t="n">
        <x:v>21557.43</x:v>
      </x:c>
    </x:row>
    <x:row r="25">
      <x:c r="A25" t="str">
        <x:v>2025-04</x:v>
      </x:c>
      <x:c r="B25" t="str">
        <x:v>General &amp; Administrative</x:v>
      </x:c>
      <x:c r="C25" t="str">
        <x:v>Fixed</x:v>
      </x:c>
      <x:c r="D25" s="14" t="n">
        <x:v>33152</x:v>
      </x:c>
      <x:c r="E25" s="14" t="n">
        <x:v>35764.07</x:v>
      </x:c>
    </x:row>
    <x:row r="26">
      <x:c r="A26" t="str">
        <x:v>2025-05</x:v>
      </x:c>
      <x:c r="B26" t="str">
        <x:v>Payroll</x:v>
      </x:c>
      <x:c r="C26" t="str">
        <x:v>Fixed</x:v>
      </x:c>
      <x:c r="D26" s="14" t="n">
        <x:v>141480</x:v>
      </x:c>
      <x:c r="E26" s="14" t="n">
        <x:v>154199.12</x:v>
      </x:c>
    </x:row>
    <x:row r="27">
      <x:c r="A27" t="str">
        <x:v>2025-05</x:v>
      </x:c>
      <x:c r="B27" t="str">
        <x:v>Rent &amp; Facilities</x:v>
      </x:c>
      <x:c r="C27" t="str">
        <x:v>Fixed</x:v>
      </x:c>
      <x:c r="D27" s="14" t="n">
        <x:v>39824</x:v>
      </x:c>
      <x:c r="E27" s="14" t="n">
        <x:v>42080.59</x:v>
      </x:c>
    </x:row>
    <x:row r="28">
      <x:c r="A28" t="str">
        <x:v>2025-05</x:v>
      </x:c>
      <x:c r="B28" t="str">
        <x:v>Marketing</x:v>
      </x:c>
      <x:c r="C28" t="str">
        <x:v>Variable</x:v>
      </x:c>
      <x:c r="D28" s="14" t="n">
        <x:v>47160</x:v>
      </x:c>
      <x:c r="E28" s="14" t="n">
        <x:v>51264.25</x:v>
      </x:c>
    </x:row>
    <x:row r="29">
      <x:c r="A29" t="str">
        <x:v>2025-05</x:v>
      </x:c>
      <x:c r="B29" t="str">
        <x:v>Logistics</x:v>
      </x:c>
      <x:c r="C29" t="str">
        <x:v>Variable</x:v>
      </x:c>
      <x:c r="D29" s="14" t="n">
        <x:v>62880</x:v>
      </x:c>
      <x:c r="E29" s="14" t="n">
        <x:v>69259.37</x:v>
      </x:c>
    </x:row>
    <x:row r="30">
      <x:c r="A30" t="str">
        <x:v>2025-05</x:v>
      </x:c>
      <x:c r="B30" t="str">
        <x:v>Technology</x:v>
      </x:c>
      <x:c r="C30" t="str">
        <x:v>Fixed</x:v>
      </x:c>
      <x:c r="D30" s="14" t="n">
        <x:v>20960</x:v>
      </x:c>
      <x:c r="E30" s="14" t="n">
        <x:v>20797.99</x:v>
      </x:c>
    </x:row>
    <x:row r="31">
      <x:c r="A31" t="str">
        <x:v>2025-05</x:v>
      </x:c>
      <x:c r="B31" t="str">
        <x:v>General &amp; Administrative</x:v>
      </x:c>
      <x:c r="C31" t="str">
        <x:v>Fixed</x:v>
      </x:c>
      <x:c r="D31" s="14" t="n">
        <x:v>33536</x:v>
      </x:c>
      <x:c r="E31" s="14" t="n">
        <x:v>33946.15</x:v>
      </x:c>
    </x:row>
    <x:row r="32">
      <x:c r="A32" t="str">
        <x:v>2025-06</x:v>
      </x:c>
      <x:c r="B32" t="str">
        <x:v>Payroll</x:v>
      </x:c>
      <x:c r="C32" t="str">
        <x:v>Fixed</x:v>
      </x:c>
      <x:c r="D32" s="14" t="n">
        <x:v>143100</x:v>
      </x:c>
      <x:c r="E32" s="14" t="n">
        <x:v>147383.73</x:v>
      </x:c>
    </x:row>
    <x:row r="33">
      <x:c r="A33" t="str">
        <x:v>2025-06</x:v>
      </x:c>
      <x:c r="B33" t="str">
        <x:v>Rent &amp; Facilities</x:v>
      </x:c>
      <x:c r="C33" t="str">
        <x:v>Fixed</x:v>
      </x:c>
      <x:c r="D33" s="14" t="n">
        <x:v>40280</x:v>
      </x:c>
      <x:c r="E33" s="14" t="n">
        <x:v>39980.34</x:v>
      </x:c>
    </x:row>
    <x:row r="34">
      <x:c r="A34" t="str">
        <x:v>2025-06</x:v>
      </x:c>
      <x:c r="B34" t="str">
        <x:v>Marketing</x:v>
      </x:c>
      <x:c r="C34" t="str">
        <x:v>Variable</x:v>
      </x:c>
      <x:c r="D34" s="14" t="n">
        <x:v>47700</x:v>
      </x:c>
      <x:c r="E34" s="14" t="n">
        <x:v>53515.75</x:v>
      </x:c>
    </x:row>
    <x:row r="35">
      <x:c r="A35" t="str">
        <x:v>2025-06</x:v>
      </x:c>
      <x:c r="B35" t="str">
        <x:v>Logistics</x:v>
      </x:c>
      <x:c r="C35" t="str">
        <x:v>Variable</x:v>
      </x:c>
      <x:c r="D35" s="14" t="n">
        <x:v>63600</x:v>
      </x:c>
      <x:c r="E35" s="14" t="n">
        <x:v>67974.9</x:v>
      </x:c>
    </x:row>
    <x:row r="36">
      <x:c r="A36" t="str">
        <x:v>2025-06</x:v>
      </x:c>
      <x:c r="B36" t="str">
        <x:v>Technology</x:v>
      </x:c>
      <x:c r="C36" t="str">
        <x:v>Fixed</x:v>
      </x:c>
      <x:c r="D36" s="14" t="n">
        <x:v>21200</x:v>
      </x:c>
      <x:c r="E36" s="14" t="n">
        <x:v>19955.64</x:v>
      </x:c>
    </x:row>
    <x:row r="37">
      <x:c r="A37" t="str">
        <x:v>2025-06</x:v>
      </x:c>
      <x:c r="B37" t="str">
        <x:v>General &amp; Administrative</x:v>
      </x:c>
      <x:c r="C37" t="str">
        <x:v>Fixed</x:v>
      </x:c>
      <x:c r="D37" s="14" t="n">
        <x:v>33920</x:v>
      </x:c>
      <x:c r="E37" s="14" t="n">
        <x:v>32014.97</x:v>
      </x:c>
    </x:row>
    <x:row r="38">
      <x:c r="A38" t="str">
        <x:v>2025-07</x:v>
      </x:c>
      <x:c r="B38" t="str">
        <x:v>Payroll</x:v>
      </x:c>
      <x:c r="C38" t="str">
        <x:v>Fixed</x:v>
      </x:c>
      <x:c r="D38" s="14" t="n">
        <x:v>144720</x:v>
      </x:c>
      <x:c r="E38" s="14" t="n">
        <x:v>142999.91</x:v>
      </x:c>
    </x:row>
    <x:row r="39">
      <x:c r="A39" t="str">
        <x:v>2025-07</x:v>
      </x:c>
      <x:c r="B39" t="str">
        <x:v>Rent &amp; Facilities</x:v>
      </x:c>
      <x:c r="C39" t="str">
        <x:v>Fixed</x:v>
      </x:c>
      <x:c r="D39" s="14" t="n">
        <x:v>40736</x:v>
      </x:c>
      <x:c r="E39" s="14" t="n">
        <x:v>43150.99</x:v>
      </x:c>
    </x:row>
    <x:row r="40">
      <x:c r="A40" t="str">
        <x:v>2025-07</x:v>
      </x:c>
      <x:c r="B40" t="str">
        <x:v>Marketing</x:v>
      </x:c>
      <x:c r="C40" t="str">
        <x:v>Variable</x:v>
      </x:c>
      <x:c r="D40" s="14" t="n">
        <x:v>48240</x:v>
      </x:c>
      <x:c r="E40" s="14" t="n">
        <x:v>54896.72</x:v>
      </x:c>
    </x:row>
    <x:row r="41">
      <x:c r="A41" t="str">
        <x:v>2025-07</x:v>
      </x:c>
      <x:c r="B41" t="str">
        <x:v>Logistics</x:v>
      </x:c>
      <x:c r="C41" t="str">
        <x:v>Variable</x:v>
      </x:c>
      <x:c r="D41" s="14" t="n">
        <x:v>64320</x:v>
      </x:c>
      <x:c r="E41" s="14" t="n">
        <x:v>66050.19</x:v>
      </x:c>
    </x:row>
    <x:row r="42">
      <x:c r="A42" t="str">
        <x:v>2025-07</x:v>
      </x:c>
      <x:c r="B42" t="str">
        <x:v>Technology</x:v>
      </x:c>
      <x:c r="C42" t="str">
        <x:v>Fixed</x:v>
      </x:c>
      <x:c r="D42" s="14" t="n">
        <x:v>21440</x:v>
      </x:c>
      <x:c r="E42" s="14" t="n">
        <x:v>22597.33</x:v>
      </x:c>
    </x:row>
    <x:row r="43">
      <x:c r="A43" t="str">
        <x:v>2025-07</x:v>
      </x:c>
      <x:c r="B43" t="str">
        <x:v>General &amp; Administrative</x:v>
      </x:c>
      <x:c r="C43" t="str">
        <x:v>Fixed</x:v>
      </x:c>
      <x:c r="D43" s="14" t="n">
        <x:v>34304</x:v>
      </x:c>
      <x:c r="E43" s="14" t="n">
        <x:v>32363.9</x:v>
      </x:c>
    </x:row>
    <x:row r="44">
      <x:c r="A44" t="str">
        <x:v>2025-08</x:v>
      </x:c>
      <x:c r="B44" t="str">
        <x:v>Payroll</x:v>
      </x:c>
      <x:c r="C44" t="str">
        <x:v>Fixed</x:v>
      </x:c>
      <x:c r="D44" s="14" t="n">
        <x:v>146340</x:v>
      </x:c>
      <x:c r="E44" s="14" t="n">
        <x:v>159008.95</x:v>
      </x:c>
    </x:row>
    <x:row r="45">
      <x:c r="A45" t="str">
        <x:v>2025-08</x:v>
      </x:c>
      <x:c r="B45" t="str">
        <x:v>Rent &amp; Facilities</x:v>
      </x:c>
      <x:c r="C45" t="str">
        <x:v>Fixed</x:v>
      </x:c>
      <x:c r="D45" s="14" t="n">
        <x:v>41192</x:v>
      </x:c>
      <x:c r="E45" s="14" t="n">
        <x:v>39872.54</x:v>
      </x:c>
    </x:row>
    <x:row r="46">
      <x:c r="A46" t="str">
        <x:v>2025-08</x:v>
      </x:c>
      <x:c r="B46" t="str">
        <x:v>Marketing</x:v>
      </x:c>
      <x:c r="C46" t="str">
        <x:v>Variable</x:v>
      </x:c>
      <x:c r="D46" s="14" t="n">
        <x:v>48780</x:v>
      </x:c>
      <x:c r="E46" s="14" t="n">
        <x:v>49976.56</x:v>
      </x:c>
    </x:row>
    <x:row r="47">
      <x:c r="A47" t="str">
        <x:v>2025-08</x:v>
      </x:c>
      <x:c r="B47" t="str">
        <x:v>Logistics</x:v>
      </x:c>
      <x:c r="C47" t="str">
        <x:v>Variable</x:v>
      </x:c>
      <x:c r="D47" s="14" t="n">
        <x:v>65040</x:v>
      </x:c>
      <x:c r="E47" s="14" t="n">
        <x:v>65752.49</x:v>
      </x:c>
    </x:row>
    <x:row r="48">
      <x:c r="A48" t="str">
        <x:v>2025-08</x:v>
      </x:c>
      <x:c r="B48" t="str">
        <x:v>Technology</x:v>
      </x:c>
      <x:c r="C48" t="str">
        <x:v>Fixed</x:v>
      </x:c>
      <x:c r="D48" s="14" t="n">
        <x:v>21680</x:v>
      </x:c>
      <x:c r="E48" s="14" t="n">
        <x:v>22127.98</x:v>
      </x:c>
    </x:row>
    <x:row r="49">
      <x:c r="A49" t="str">
        <x:v>2025-08</x:v>
      </x:c>
      <x:c r="B49" t="str">
        <x:v>General &amp; Administrative</x:v>
      </x:c>
      <x:c r="C49" t="str">
        <x:v>Fixed</x:v>
      </x:c>
      <x:c r="D49" s="14" t="n">
        <x:v>34688</x:v>
      </x:c>
      <x:c r="E49" s="14" t="n">
        <x:v>33139.17</x:v>
      </x:c>
    </x:row>
    <x:row r="50">
      <x:c r="A50" t="str">
        <x:v>2025-09</x:v>
      </x:c>
      <x:c r="B50" t="str">
        <x:v>Payroll</x:v>
      </x:c>
      <x:c r="C50" t="str">
        <x:v>Fixed</x:v>
      </x:c>
      <x:c r="D50" s="14" t="n">
        <x:v>147960</x:v>
      </x:c>
      <x:c r="E50" s="14" t="n">
        <x:v>151716.33</x:v>
      </x:c>
    </x:row>
    <x:row r="51">
      <x:c r="A51" t="str">
        <x:v>2025-09</x:v>
      </x:c>
      <x:c r="B51" t="str">
        <x:v>Rent &amp; Facilities</x:v>
      </x:c>
      <x:c r="C51" t="str">
        <x:v>Fixed</x:v>
      </x:c>
      <x:c r="D51" s="14" t="n">
        <x:v>41648</x:v>
      </x:c>
      <x:c r="E51" s="14" t="n">
        <x:v>39931.36</x:v>
      </x:c>
    </x:row>
    <x:row r="52">
      <x:c r="A52" t="str">
        <x:v>2025-09</x:v>
      </x:c>
      <x:c r="B52" t="str">
        <x:v>Marketing</x:v>
      </x:c>
      <x:c r="C52" t="str">
        <x:v>Variable</x:v>
      </x:c>
      <x:c r="D52" s="14" t="n">
        <x:v>49320</x:v>
      </x:c>
      <x:c r="E52" s="14" t="n">
        <x:v>50239.59</x:v>
      </x:c>
    </x:row>
    <x:row r="53">
      <x:c r="A53" t="str">
        <x:v>2025-09</x:v>
      </x:c>
      <x:c r="B53" t="str">
        <x:v>Logistics</x:v>
      </x:c>
      <x:c r="C53" t="str">
        <x:v>Variable</x:v>
      </x:c>
      <x:c r="D53" s="14" t="n">
        <x:v>65760</x:v>
      </x:c>
      <x:c r="E53" s="14" t="n">
        <x:v>74968.4</x:v>
      </x:c>
    </x:row>
    <x:row r="54">
      <x:c r="A54" t="str">
        <x:v>2025-09</x:v>
      </x:c>
      <x:c r="B54" t="str">
        <x:v>Technology</x:v>
      </x:c>
      <x:c r="C54" t="str">
        <x:v>Fixed</x:v>
      </x:c>
      <x:c r="D54" s="14" t="n">
        <x:v>21920</x:v>
      </x:c>
      <x:c r="E54" s="14" t="n">
        <x:v>22811.63</x:v>
      </x:c>
    </x:row>
    <x:row r="55">
      <x:c r="A55" t="str">
        <x:v>2025-09</x:v>
      </x:c>
      <x:c r="B55" t="str">
        <x:v>General &amp; Administrative</x:v>
      </x:c>
      <x:c r="C55" t="str">
        <x:v>Fixed</x:v>
      </x:c>
      <x:c r="D55" s="14" t="n">
        <x:v>35072</x:v>
      </x:c>
      <x:c r="E55" s="14" t="n">
        <x:v>37333.49</x:v>
      </x:c>
    </x:row>
    <x:row r="56">
      <x:c r="A56" t="str">
        <x:v>2025-10</x:v>
      </x:c>
      <x:c r="B56" t="str">
        <x:v>Payroll</x:v>
      </x:c>
      <x:c r="C56" t="str">
        <x:v>Fixed</x:v>
      </x:c>
      <x:c r="D56" s="14" t="n">
        <x:v>149580</x:v>
      </x:c>
      <x:c r="E56" s="14" t="n">
        <x:v>158047.67</x:v>
      </x:c>
    </x:row>
    <x:row r="57">
      <x:c r="A57" t="str">
        <x:v>2025-10</x:v>
      </x:c>
      <x:c r="B57" t="str">
        <x:v>Rent &amp; Facilities</x:v>
      </x:c>
      <x:c r="C57" t="str">
        <x:v>Fixed</x:v>
      </x:c>
      <x:c r="D57" s="14" t="n">
        <x:v>42104</x:v>
      </x:c>
      <x:c r="E57" s="14" t="n">
        <x:v>43073.81</x:v>
      </x:c>
    </x:row>
    <x:row r="58">
      <x:c r="A58" t="str">
        <x:v>2025-10</x:v>
      </x:c>
      <x:c r="B58" t="str">
        <x:v>Marketing</x:v>
      </x:c>
      <x:c r="C58" t="str">
        <x:v>Variable</x:v>
      </x:c>
      <x:c r="D58" s="14" t="n">
        <x:v>49860</x:v>
      </x:c>
      <x:c r="E58" s="14" t="n">
        <x:v>51889.53</x:v>
      </x:c>
    </x:row>
    <x:row r="59">
      <x:c r="A59" t="str">
        <x:v>2025-10</x:v>
      </x:c>
      <x:c r="B59" t="str">
        <x:v>Logistics</x:v>
      </x:c>
      <x:c r="C59" t="str">
        <x:v>Variable</x:v>
      </x:c>
      <x:c r="D59" s="14" t="n">
        <x:v>66480</x:v>
      </x:c>
      <x:c r="E59" s="14" t="n">
        <x:v>75803.3</x:v>
      </x:c>
    </x:row>
    <x:row r="60">
      <x:c r="A60" t="str">
        <x:v>2025-10</x:v>
      </x:c>
      <x:c r="B60" t="str">
        <x:v>Technology</x:v>
      </x:c>
      <x:c r="C60" t="str">
        <x:v>Fixed</x:v>
      </x:c>
      <x:c r="D60" s="14" t="n">
        <x:v>22160</x:v>
      </x:c>
      <x:c r="E60" s="14" t="n">
        <x:v>22470.61</x:v>
      </x:c>
    </x:row>
    <x:row r="61">
      <x:c r="A61" t="str">
        <x:v>2025-10</x:v>
      </x:c>
      <x:c r="B61" t="str">
        <x:v>General &amp; Administrative</x:v>
      </x:c>
      <x:c r="C61" t="str">
        <x:v>Fixed</x:v>
      </x:c>
      <x:c r="D61" s="14" t="n">
        <x:v>35456</x:v>
      </x:c>
      <x:c r="E61" s="14" t="n">
        <x:v>37594.47</x:v>
      </x:c>
    </x:row>
    <x:row r="62">
      <x:c r="A62" t="str">
        <x:v>2025-11</x:v>
      </x:c>
      <x:c r="B62" t="str">
        <x:v>Payroll</x:v>
      </x:c>
      <x:c r="C62" t="str">
        <x:v>Fixed</x:v>
      </x:c>
      <x:c r="D62" s="14" t="n">
        <x:v>151200</x:v>
      </x:c>
      <x:c r="E62" s="14" t="n">
        <x:v>155140.83</x:v>
      </x:c>
    </x:row>
    <x:row r="63">
      <x:c r="A63" t="str">
        <x:v>2025-11</x:v>
      </x:c>
      <x:c r="B63" t="str">
        <x:v>Rent &amp; Facilities</x:v>
      </x:c>
      <x:c r="C63" t="str">
        <x:v>Fixed</x:v>
      </x:c>
      <x:c r="D63" s="14" t="n">
        <x:v>42560</x:v>
      </x:c>
      <x:c r="E63" s="14" t="n">
        <x:v>41529.37</x:v>
      </x:c>
    </x:row>
    <x:row r="64">
      <x:c r="A64" t="str">
        <x:v>2025-11</x:v>
      </x:c>
      <x:c r="B64" t="str">
        <x:v>Marketing</x:v>
      </x:c>
      <x:c r="C64" t="str">
        <x:v>Variable</x:v>
      </x:c>
      <x:c r="D64" s="14" t="n">
        <x:v>59472</x:v>
      </x:c>
      <x:c r="E64" s="14" t="n">
        <x:v>67049.53</x:v>
      </x:c>
    </x:row>
    <x:row r="65">
      <x:c r="A65" t="str">
        <x:v>2025-11</x:v>
      </x:c>
      <x:c r="B65" t="str">
        <x:v>Logistics</x:v>
      </x:c>
      <x:c r="C65" t="str">
        <x:v>Variable</x:v>
      </x:c>
      <x:c r="D65" s="14" t="n">
        <x:v>67200</x:v>
      </x:c>
      <x:c r="E65" s="14" t="n">
        <x:v>70660.82</x:v>
      </x:c>
    </x:row>
    <x:row r="66">
      <x:c r="A66" t="str">
        <x:v>2025-11</x:v>
      </x:c>
      <x:c r="B66" t="str">
        <x:v>Technology</x:v>
      </x:c>
      <x:c r="C66" t="str">
        <x:v>Fixed</x:v>
      </x:c>
      <x:c r="D66" s="14" t="n">
        <x:v>22400</x:v>
      </x:c>
      <x:c r="E66" s="14" t="n">
        <x:v>23633.31</x:v>
      </x:c>
    </x:row>
    <x:row r="67">
      <x:c r="A67" t="str">
        <x:v>2025-11</x:v>
      </x:c>
      <x:c r="B67" t="str">
        <x:v>General &amp; Administrative</x:v>
      </x:c>
      <x:c r="C67" t="str">
        <x:v>Fixed</x:v>
      </x:c>
      <x:c r="D67" s="14" t="n">
        <x:v>35840</x:v>
      </x:c>
      <x:c r="E67" s="14" t="n">
        <x:v>37616.07</x:v>
      </x:c>
    </x:row>
    <x:row r="68">
      <x:c r="A68" t="str">
        <x:v>2025-12</x:v>
      </x:c>
      <x:c r="B68" t="str">
        <x:v>Payroll</x:v>
      </x:c>
      <x:c r="C68" t="str">
        <x:v>Fixed</x:v>
      </x:c>
      <x:c r="D68" s="14" t="n">
        <x:v>152820</x:v>
      </x:c>
      <x:c r="E68" s="14" t="n">
        <x:v>160174.12</x:v>
      </x:c>
    </x:row>
    <x:row r="69">
      <x:c r="A69" t="str">
        <x:v>2025-12</x:v>
      </x:c>
      <x:c r="B69" t="str">
        <x:v>Rent &amp; Facilities</x:v>
      </x:c>
      <x:c r="C69" t="str">
        <x:v>Fixed</x:v>
      </x:c>
      <x:c r="D69" s="14" t="n">
        <x:v>43016</x:v>
      </x:c>
      <x:c r="E69" s="14" t="n">
        <x:v>44695.74</x:v>
      </x:c>
    </x:row>
    <x:row r="70">
      <x:c r="A70" t="str">
        <x:v>2025-12</x:v>
      </x:c>
      <x:c r="B70" t="str">
        <x:v>Marketing</x:v>
      </x:c>
      <x:c r="C70" t="str">
        <x:v>Variable</x:v>
      </x:c>
      <x:c r="D70" s="14" t="n">
        <x:v>60109.2</x:v>
      </x:c>
      <x:c r="E70" s="14" t="n">
        <x:v>64273.35</x:v>
      </x:c>
    </x:row>
    <x:row r="71">
      <x:c r="A71" t="str">
        <x:v>2025-12</x:v>
      </x:c>
      <x:c r="B71" t="str">
        <x:v>Logistics</x:v>
      </x:c>
      <x:c r="C71" t="str">
        <x:v>Variable</x:v>
      </x:c>
      <x:c r="D71" s="14" t="n">
        <x:v>67920</x:v>
      </x:c>
      <x:c r="E71" s="14" t="n">
        <x:v>68472.73</x:v>
      </x:c>
    </x:row>
    <x:row r="72">
      <x:c r="A72" t="str">
        <x:v>2025-12</x:v>
      </x:c>
      <x:c r="B72" t="str">
        <x:v>Technology</x:v>
      </x:c>
      <x:c r="C72" t="str">
        <x:v>Fixed</x:v>
      </x:c>
      <x:c r="D72" s="14" t="n">
        <x:v>22640</x:v>
      </x:c>
      <x:c r="E72" s="14" t="n">
        <x:v>22460.05</x:v>
      </x:c>
    </x:row>
    <x:row r="73">
      <x:c r="A73" t="str">
        <x:v>2025-12</x:v>
      </x:c>
      <x:c r="B73" t="str">
        <x:v>General &amp; Administrative</x:v>
      </x:c>
      <x:c r="C73" t="str">
        <x:v>Fixed</x:v>
      </x:c>
      <x:c r="D73" s="14" t="n">
        <x:v>36224</x:v>
      </x:c>
      <x:c r="E73" s="14" t="n">
        <x:v>36752.02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31" customHeight="1">
      <x:c r="A1" s="4" t="str">
        <x:v>Month</x:v>
      </x:c>
      <x:c r="B1" s="4" t="str">
        <x:v>Budget Revenue</x:v>
      </x:c>
      <x:c r="C1" s="4" t="str">
        <x:v>Actual Revenue</x:v>
      </x:c>
      <x:c r="D1" s="4" t="str">
        <x:v>Revenue Var</x:v>
      </x:c>
      <x:c r="E1" s="4" t="str">
        <x:v>Budget COGS</x:v>
      </x:c>
      <x:c r="F1" s="4" t="str">
        <x:v>Actual COGS</x:v>
      </x:c>
      <x:c r="G1" s="4" t="str">
        <x:v>Budget Gross Profit</x:v>
      </x:c>
      <x:c r="H1" s="4" t="str">
        <x:v>Actual Gross Profit</x:v>
      </x:c>
      <x:c r="I1" s="4" t="str">
        <x:v>Budget OPEX</x:v>
      </x:c>
      <x:c r="J1" s="4" t="str">
        <x:v>Actual OPEX</x:v>
      </x:c>
      <x:c r="K1" s="4" t="str">
        <x:v>Budget EBITDA</x:v>
      </x:c>
      <x:c r="L1" s="4" t="str">
        <x:v>Actual EBITDA</x:v>
      </x:c>
      <x:c r="M1" s="4" t="str">
        <x:v>EBITDA Var</x:v>
      </x:c>
      <x:c r="N1" s="4" t="str">
        <x:v>Budget GM %</x:v>
      </x:c>
      <x:c r="O1" s="4" t="str">
        <x:v>Actual GM %</x:v>
      </x:c>
    </x:row>
    <x:row r="2">
      <x:c r="A2" t="str">
        <x:v>2025-01</x:v>
      </x:c>
      <x:c r="B2" s="14" t="n">
        <x:f>SUMIF(Sales_Data!$A$2:$A$241,A2,Sales_Data!$K$2:$K$241)</x:f>
        <x:v>729824.5</x:v>
      </x:c>
      <x:c r="C2" s="14" t="n">
        <x:f>SUMIF(Sales_Data!$A$2:$A$241,A2,Sales_Data!$L$2:$L$241)</x:f>
        <x:v>745767.42</x:v>
      </x:c>
      <x:c r="D2" s="14" t="n">
        <x:f>C2-B2</x:f>
        <x:v>15942.920000000042</x:v>
      </x:c>
      <x:c r="E2" s="14" t="n">
        <x:f>SUMIF(Sales_Data!$A$2:$A$241,A2,Sales_Data!$M$2:$M$241)</x:f>
        <x:v>423121.86999999994</x:v>
      </x:c>
      <x:c r="F2" s="14" t="n">
        <x:f>SUMIF(Sales_Data!$A$2:$A$241,A2,Sales_Data!$N$2:$N$241)</x:f>
        <x:v>464501.9600000001</x:v>
      </x:c>
      <x:c r="G2" s="14" t="n">
        <x:f>B2-E2</x:f>
        <x:v>306702.63000000006</x:v>
      </x:c>
      <x:c r="H2" s="14" t="n">
        <x:f>C2-F2</x:f>
        <x:v>281265.45999999996</x:v>
      </x:c>
      <x:c r="I2" s="14" t="n">
        <x:f>SUMIF(OPEX_Data!$A$2:$A$73,A2,OPEX_Data!$D$2:$D$73)</x:f>
        <x:v>330000</x:v>
      </x:c>
      <x:c r="J2" s="14" t="n">
        <x:f>SUMIF(OPEX_Data!$A$2:$A$73,A2,OPEX_Data!$E$2:$E$73)</x:f>
        <x:v>349899.99</x:v>
      </x:c>
      <x:c r="K2" s="14" t="n">
        <x:f>G2-I2</x:f>
        <x:v>-23297.369999999937</x:v>
      </x:c>
      <x:c r="L2" s="14" t="n">
        <x:f>H2-J2</x:f>
        <x:v>-68634.53000000003</x:v>
      </x:c>
      <x:c r="M2" s="14" t="n">
        <x:f>L2-K2</x:f>
        <x:v>-45337.16000000009</x:v>
      </x:c>
      <x:c r="N2" s="12" t="n">
        <x:f>IFERROR(G2/B2,0)</x:f>
        <x:v>0.42024161973186713</x:v>
      </x:c>
      <x:c r="O2" s="12" t="n">
        <x:f>IFERROR(H2/C2,0)</x:f>
        <x:v>0.3771490312623203</x:v>
      </x:c>
    </x:row>
    <x:row r="3">
      <x:c r="A3" t="str">
        <x:v>2025-02</x:v>
      </x:c>
      <x:c r="B3" s="14" t="n">
        <x:f>SUMIF(Sales_Data!$A$2:$A$241,A3,Sales_Data!$K$2:$K$241)</x:f>
        <x:v>758883.3699999999</x:v>
      </x:c>
      <x:c r="C3" s="14" t="n">
        <x:f>SUMIF(Sales_Data!$A$2:$A$241,A3,Sales_Data!$L$2:$L$241)</x:f>
        <x:v>740207.38</x:v>
      </x:c>
      <x:c r="D3" s="14" t="n">
        <x:f>C3-B3</x:f>
        <x:v>-18675.989999999874</x:v>
      </x:c>
      <x:c r="E3" s="14" t="n">
        <x:f>SUMIF(Sales_Data!$A$2:$A$241,A3,Sales_Data!$M$2:$M$241)</x:f>
        <x:v>440071.45</x:v>
      </x:c>
      <x:c r="F3" s="14" t="n">
        <x:f>SUMIF(Sales_Data!$A$2:$A$241,A3,Sales_Data!$N$2:$N$241)</x:f>
        <x:v>460187.49999999994</x:v>
      </x:c>
      <x:c r="G3" s="14" t="n">
        <x:f>B3-E3</x:f>
        <x:v>318811.91999999987</x:v>
      </x:c>
      <x:c r="H3" s="14" t="n">
        <x:f>C3-F3</x:f>
        <x:v>280019.88000000006</x:v>
      </x:c>
      <x:c r="I3" s="14" t="n">
        <x:f>SUMIF(OPEX_Data!$A$2:$A$73,A3,OPEX_Data!$D$2:$D$73)</x:f>
        <x:v>333960</x:v>
      </x:c>
      <x:c r="J3" s="14" t="n">
        <x:f>SUMIF(OPEX_Data!$A$2:$A$73,A3,OPEX_Data!$E$2:$E$73)</x:f>
        <x:v>343339.65</x:v>
      </x:c>
      <x:c r="K3" s="14" t="n">
        <x:f>G3-I3</x:f>
        <x:v>-15148.080000000133</x:v>
      </x:c>
      <x:c r="L3" s="14" t="n">
        <x:f>H3-J3</x:f>
        <x:v>-63319.76999999996</x:v>
      </x:c>
      <x:c r="M3" s="14" t="n">
        <x:f>L3-K3</x:f>
        <x:v>-48171.68999999983</x:v>
      </x:c>
      <x:c r="N3" s="12" t="n">
        <x:f>IFERROR(G3/B3,0)</x:f>
        <x:v>0.4201066100578801</x:v>
      </x:c>
      <x:c r="O3" s="12" t="n">
        <x:f>IFERROR(H3/C3,0)</x:f>
        <x:v>0.3782992274408289</x:v>
      </x:c>
    </x:row>
    <x:row r="4">
      <x:c r="A4" t="str">
        <x:v>2025-03</x:v>
      </x:c>
      <x:c r="B4" s="14" t="n">
        <x:f>SUMIF(Sales_Data!$A$2:$A$241,A4,Sales_Data!$K$2:$K$241)</x:f>
        <x:v>870514.46</x:v>
      </x:c>
      <x:c r="C4" s="14" t="n">
        <x:f>SUMIF(Sales_Data!$A$2:$A$241,A4,Sales_Data!$L$2:$L$241)</x:f>
        <x:v>847641.3299999998</x:v>
      </x:c>
      <x:c r="D4" s="14" t="n">
        <x:f>C4-B4</x:f>
        <x:v>-22873.13000000012</x:v>
      </x:c>
      <x:c r="E4" s="14" t="n">
        <x:f>SUMIF(Sales_Data!$A$2:$A$241,A4,Sales_Data!$M$2:$M$241)</x:f>
        <x:v>504792.95</x:v>
      </x:c>
      <x:c r="F4" s="14" t="n">
        <x:f>SUMIF(Sales_Data!$A$2:$A$241,A4,Sales_Data!$N$2:$N$241)</x:f>
        <x:v>526597.97</x:v>
      </x:c>
      <x:c r="G4" s="14" t="n">
        <x:f>B4-E4</x:f>
        <x:v>365721.50999999995</x:v>
      </x:c>
      <x:c r="H4" s="14" t="n">
        <x:f>C4-F4</x:f>
        <x:v>321043.35999999987</x:v>
      </x:c>
      <x:c r="I4" s="14" t="n">
        <x:f>SUMIF(OPEX_Data!$A$2:$A$73,A4,OPEX_Data!$D$2:$D$73)</x:f>
        <x:v>337920</x:v>
      </x:c>
      <x:c r="J4" s="14" t="n">
        <x:f>SUMIF(OPEX_Data!$A$2:$A$73,A4,OPEX_Data!$E$2:$E$73)</x:f>
        <x:v>341336.67999999993</x:v>
      </x:c>
      <x:c r="K4" s="14" t="n">
        <x:f>G4-I4</x:f>
        <x:v>27801.50999999995</x:v>
      </x:c>
      <x:c r="L4" s="14" t="n">
        <x:f>H4-J4</x:f>
        <x:v>-20293.320000000065</x:v>
      </x:c>
      <x:c r="M4" s="14" t="n">
        <x:f>L4-K4</x:f>
        <x:v>-48094.830000000016</x:v>
      </x:c>
      <x:c r="N4" s="12" t="n">
        <x:f>IFERROR(G4/B4,0)</x:f>
        <x:v>0.4201211201017844</x:v>
      </x:c>
      <x:c r="O4" s="12" t="n">
        <x:f>IFERROR(H4/C4,0)</x:f>
        <x:v>0.37874906359273436</x:v>
      </x:c>
    </x:row>
    <x:row r="5">
      <x:c r="A5" t="str">
        <x:v>2025-04</x:v>
      </x:c>
      <x:c r="B5" s="14" t="n">
        <x:f>SUMIF(Sales_Data!$A$2:$A$241,A5,Sales_Data!$K$2:$K$241)</x:f>
        <x:v>882812.5999999999</x:v>
      </x:c>
      <x:c r="C5" s="14" t="n">
        <x:f>SUMIF(Sales_Data!$A$2:$A$241,A5,Sales_Data!$L$2:$L$241)</x:f>
        <x:v>879128.3200000001</x:v>
      </x:c>
      <x:c r="D5" s="14" t="n">
        <x:f>C5-B5</x:f>
        <x:v>-3684.279999999795</x:v>
      </x:c>
      <x:c r="E5" s="14" t="n">
        <x:f>SUMIF(Sales_Data!$A$2:$A$241,A5,Sales_Data!$M$2:$M$241)</x:f>
        <x:v>511776.04000000004</x:v>
      </x:c>
      <x:c r="F5" s="14" t="n">
        <x:f>SUMIF(Sales_Data!$A$2:$A$241,A5,Sales_Data!$N$2:$N$241)</x:f>
        <x:v>540799.42</x:v>
      </x:c>
      <x:c r="G5" s="14" t="n">
        <x:f>B5-E5</x:f>
        <x:v>371036.5599999998</x:v>
      </x:c>
      <x:c r="H5" s="14" t="n">
        <x:f>C5-F5</x:f>
        <x:v>338328.9</x:v>
      </x:c>
      <x:c r="I5" s="14" t="n">
        <x:f>SUMIF(OPEX_Data!$A$2:$A$73,A5,OPEX_Data!$D$2:$D$73)</x:f>
        <x:v>341880</x:v>
      </x:c>
      <x:c r="J5" s="14" t="n">
        <x:f>SUMIF(OPEX_Data!$A$2:$A$73,A5,OPEX_Data!$E$2:$E$73)</x:f>
        <x:v>361328.06</x:v>
      </x:c>
      <x:c r="K5" s="14" t="n">
        <x:f>G5-I5</x:f>
        <x:v>29156.559999999823</x:v>
      </x:c>
      <x:c r="L5" s="14" t="n">
        <x:f>H5-J5</x:f>
        <x:v>-22999.159999999974</x:v>
      </x:c>
      <x:c r="M5" s="14" t="n">
        <x:f>L5-K5</x:f>
        <x:v>-52155.7199999998</x:v>
      </x:c>
      <x:c r="N5" s="12" t="n">
        <x:f>IFERROR(G5/B5,0)</x:f>
        <x:v>0.4202891530999896</x:v>
      </x:c>
      <x:c r="O5" s="12" t="n">
        <x:f>IFERROR(H5/C5,0)</x:f>
        <x:v>0.3848458664145867</x:v>
      </x:c>
    </x:row>
    <x:row r="6">
      <x:c r="A6" t="str">
        <x:v>2025-05</x:v>
      </x:c>
      <x:c r="B6" s="14" t="n">
        <x:f>SUMIF(Sales_Data!$A$2:$A$241,A6,Sales_Data!$K$2:$K$241)</x:f>
        <x:v>931681.9400000001</x:v>
      </x:c>
      <x:c r="C6" s="14" t="n">
        <x:f>SUMIF(Sales_Data!$A$2:$A$241,A6,Sales_Data!$L$2:$L$241)</x:f>
        <x:v>923620.66</x:v>
      </x:c>
      <x:c r="D6" s="14" t="n">
        <x:f>C6-B6</x:f>
        <x:v>-8061.280000000028</x:v>
      </x:c>
      <x:c r="E6" s="14" t="n">
        <x:f>SUMIF(Sales_Data!$A$2:$A$241,A6,Sales_Data!$M$2:$M$241)</x:f>
        <x:v>540268.64</x:v>
      </x:c>
      <x:c r="F6" s="14" t="n">
        <x:f>SUMIF(Sales_Data!$A$2:$A$241,A6,Sales_Data!$N$2:$N$241)</x:f>
        <x:v>587463.25</x:v>
      </x:c>
      <x:c r="G6" s="14" t="n">
        <x:f>B6-E6</x:f>
        <x:v>391413.30000000005</x:v>
      </x:c>
      <x:c r="H6" s="14" t="n">
        <x:f>C6-F6</x:f>
        <x:v>336157.41000000003</x:v>
      </x:c>
      <x:c r="I6" s="14" t="n">
        <x:f>SUMIF(OPEX_Data!$A$2:$A$73,A6,OPEX_Data!$D$2:$D$73)</x:f>
        <x:v>345840</x:v>
      </x:c>
      <x:c r="J6" s="14" t="n">
        <x:f>SUMIF(OPEX_Data!$A$2:$A$73,A6,OPEX_Data!$E$2:$E$73)</x:f>
        <x:v>371547.47</x:v>
      </x:c>
      <x:c r="K6" s="14" t="n">
        <x:f>G6-I6</x:f>
        <x:v>45573.30000000005</x:v>
      </x:c>
      <x:c r="L6" s="14" t="n">
        <x:f>H6-J6</x:f>
        <x:v>-35390.05999999994</x:v>
      </x:c>
      <x:c r="M6" s="14" t="n">
        <x:f>L6-K6</x:f>
        <x:v>-80963.35999999999</x:v>
      </x:c>
      <x:c r="N6" s="12" t="n">
        <x:f>IFERROR(G6/B6,0)</x:f>
        <x:v>0.42011472284200335</x:v>
      </x:c>
      <x:c r="O6" s="12" t="n">
        <x:f>IFERROR(H6/C6,0)</x:f>
        <x:v>0.36395613974247826</x:v>
      </x:c>
    </x:row>
    <x:row r="7">
      <x:c r="A7" t="str">
        <x:v>2025-06</x:v>
      </x:c>
      <x:c r="B7" s="14" t="n">
        <x:f>SUMIF(Sales_Data!$A$2:$A$241,A7,Sales_Data!$K$2:$K$241)</x:f>
        <x:v>908252.6299999999</x:v>
      </x:c>
      <x:c r="C7" s="14" t="n">
        <x:f>SUMIF(Sales_Data!$A$2:$A$241,A7,Sales_Data!$L$2:$L$241)</x:f>
        <x:v>917268.82</x:v>
      </x:c>
      <x:c r="D7" s="14" t="n">
        <x:f>C7-B7</x:f>
        <x:v>9016.19000000006</x:v>
      </x:c>
      <x:c r="E7" s="14" t="n">
        <x:f>SUMIF(Sales_Data!$A$2:$A$241,A7,Sales_Data!$M$2:$M$241)</x:f>
        <x:v>526447.03</x:v>
      </x:c>
      <x:c r="F7" s="14" t="n">
        <x:f>SUMIF(Sales_Data!$A$2:$A$241,A7,Sales_Data!$N$2:$N$241)</x:f>
        <x:v>560071.56</x:v>
      </x:c>
      <x:c r="G7" s="14" t="n">
        <x:f>B7-E7</x:f>
        <x:v>381805.59999999986</x:v>
      </x:c>
      <x:c r="H7" s="14" t="n">
        <x:f>C7-F7</x:f>
        <x:v>357197.2599999999</x:v>
      </x:c>
      <x:c r="I7" s="14" t="n">
        <x:f>SUMIF(OPEX_Data!$A$2:$A$73,A7,OPEX_Data!$D$2:$D$73)</x:f>
        <x:v>349800</x:v>
      </x:c>
      <x:c r="J7" s="14" t="n">
        <x:f>SUMIF(OPEX_Data!$A$2:$A$73,A7,OPEX_Data!$E$2:$E$73)</x:f>
        <x:v>360825.32999999996</x:v>
      </x:c>
      <x:c r="K7" s="14" t="n">
        <x:f>G7-I7</x:f>
        <x:v>32005.59999999986</x:v>
      </x:c>
      <x:c r="L7" s="14" t="n">
        <x:f>H7-J7</x:f>
        <x:v>-3628.070000000065</x:v>
      </x:c>
      <x:c r="M7" s="14" t="n">
        <x:f>L7-K7</x:f>
        <x:v>-35633.669999999925</x:v>
      </x:c>
      <x:c r="N7" s="12" t="n">
        <x:f>IFERROR(G7/B7,0)</x:f>
        <x:v>0.4203737896140195</x:v>
      </x:c>
      <x:c r="O7" s="12" t="n">
        <x:f>IFERROR(H7/C7,0)</x:f>
        <x:v>0.38941393429245735</x:v>
      </x:c>
    </x:row>
    <x:row r="8">
      <x:c r="A8" t="str">
        <x:v>2025-07</x:v>
      </x:c>
      <x:c r="B8" s="14" t="n">
        <x:f>SUMIF(Sales_Data!$A$2:$A$241,A8,Sales_Data!$K$2:$K$241)</x:f>
        <x:v>959469.6599999999</x:v>
      </x:c>
      <x:c r="C8" s="14" t="n">
        <x:f>SUMIF(Sales_Data!$A$2:$A$241,A8,Sales_Data!$L$2:$L$241)</x:f>
        <x:v>946187.76</x:v>
      </x:c>
      <x:c r="D8" s="14" t="n">
        <x:f>C8-B8</x:f>
        <x:v>-13281.899999999907</x:v>
      </x:c>
      <x:c r="E8" s="14" t="n">
        <x:f>SUMIF(Sales_Data!$A$2:$A$241,A8,Sales_Data!$M$2:$M$241)</x:f>
        <x:v>556394.5599999999</x:v>
      </x:c>
      <x:c r="F8" s="14" t="n">
        <x:f>SUMIF(Sales_Data!$A$2:$A$241,A8,Sales_Data!$N$2:$N$241)</x:f>
        <x:v>605290.13</x:v>
      </x:c>
      <x:c r="G8" s="14" t="n">
        <x:f>B8-E8</x:f>
        <x:v>403075.1</x:v>
      </x:c>
      <x:c r="H8" s="14" t="n">
        <x:f>C8-F8</x:f>
        <x:v>340897.63</x:v>
      </x:c>
      <x:c r="I8" s="14" t="n">
        <x:f>SUMIF(OPEX_Data!$A$2:$A$73,A8,OPEX_Data!$D$2:$D$73)</x:f>
        <x:v>353760</x:v>
      </x:c>
      <x:c r="J8" s="14" t="n">
        <x:f>SUMIF(OPEX_Data!$A$2:$A$73,A8,OPEX_Data!$E$2:$E$73)</x:f>
        <x:v>362059.04000000004</x:v>
      </x:c>
      <x:c r="K8" s="14" t="n">
        <x:f>G8-I8</x:f>
        <x:v>49315.09999999998</x:v>
      </x:c>
      <x:c r="L8" s="14" t="n">
        <x:f>H8-J8</x:f>
        <x:v>-21161.410000000033</x:v>
      </x:c>
      <x:c r="M8" s="14" t="n">
        <x:f>L8-K8</x:f>
        <x:v>-70476.51000000001</x:v>
      </x:c>
      <x:c r="N8" s="12" t="n">
        <x:f>IFERROR(G8/B8,0)</x:f>
        <x:v>0.4201019759186549</x:v>
      </x:c>
      <x:c r="O8" s="12" t="n">
        <x:f>IFERROR(H8/C8,0)</x:f>
        <x:v>0.36028539409556515</x:v>
      </x:c>
    </x:row>
    <x:row r="9">
      <x:c r="A9" t="str">
        <x:v>2025-08</x:v>
      </x:c>
      <x:c r="B9" s="14" t="n">
        <x:f>SUMIF(Sales_Data!$A$2:$A$241,A9,Sales_Data!$K$2:$K$241)</x:f>
        <x:v>988418.6</x:v>
      </x:c>
      <x:c r="C9" s="14" t="n">
        <x:f>SUMIF(Sales_Data!$A$2:$A$241,A9,Sales_Data!$L$2:$L$241)</x:f>
        <x:v>942380.1499999999</x:v>
      </x:c>
      <x:c r="D9" s="14" t="n">
        <x:f>C9-B9</x:f>
        <x:v>-46038.45000000007</x:v>
      </x:c>
      <x:c r="E9" s="14" t="n">
        <x:f>SUMIF(Sales_Data!$A$2:$A$241,A9,Sales_Data!$M$2:$M$241)</x:f>
        <x:v>573114.8200000001</x:v>
      </x:c>
      <x:c r="F9" s="14" t="n">
        <x:f>SUMIF(Sales_Data!$A$2:$A$241,A9,Sales_Data!$N$2:$N$241)</x:f>
        <x:v>598239.19</x:v>
      </x:c>
      <x:c r="G9" s="14" t="n">
        <x:f>B9-E9</x:f>
        <x:v>415303.7799999999</x:v>
      </x:c>
      <x:c r="H9" s="14" t="n">
        <x:f>C9-F9</x:f>
        <x:v>344140.95999999996</x:v>
      </x:c>
      <x:c r="I9" s="14" t="n">
        <x:f>SUMIF(OPEX_Data!$A$2:$A$73,A9,OPEX_Data!$D$2:$D$73)</x:f>
        <x:v>357720</x:v>
      </x:c>
      <x:c r="J9" s="14" t="n">
        <x:f>SUMIF(OPEX_Data!$A$2:$A$73,A9,OPEX_Data!$E$2:$E$73)</x:f>
        <x:v>369877.69</x:v>
      </x:c>
      <x:c r="K9" s="14" t="n">
        <x:f>G9-I9</x:f>
        <x:v>57583.77999999991</x:v>
      </x:c>
      <x:c r="L9" s="14" t="n">
        <x:f>H9-J9</x:f>
        <x:v>-25736.73000000004</x:v>
      </x:c>
      <x:c r="M9" s="14" t="n">
        <x:f>L9-K9</x:f>
        <x:v>-83320.50999999995</x:v>
      </x:c>
      <x:c r="N9" s="12" t="n">
        <x:f>IFERROR(G9/B9,0)</x:f>
        <x:v>0.4201699360979244</x:v>
      </x:c>
      <x:c r="O9" s="12" t="n">
        <x:f>IFERROR(H9/C9,0)</x:f>
        <x:v>0.3651827343774166</x:v>
      </x:c>
    </x:row>
    <x:row r="10">
      <x:c r="A10" t="str">
        <x:v>2025-09</x:v>
      </x:c>
      <x:c r="B10" s="14" t="n">
        <x:f>SUMIF(Sales_Data!$A$2:$A$241,A10,Sales_Data!$K$2:$K$241)</x:f>
        <x:v>955632.44</x:v>
      </x:c>
      <x:c r="C10" s="14" t="n">
        <x:f>SUMIF(Sales_Data!$A$2:$A$241,A10,Sales_Data!$L$2:$L$241)</x:f>
        <x:v>1030668.79</x:v>
      </x:c>
      <x:c r="D10" s="14" t="n">
        <x:f>C10-B10</x:f>
        <x:v>75036.3500000001</x:v>
      </x:c>
      <x:c r="E10" s="14" t="n">
        <x:f>SUMIF(Sales_Data!$A$2:$A$241,A10,Sales_Data!$M$2:$M$241)</x:f>
        <x:v>554357.61</x:v>
      </x:c>
      <x:c r="F10" s="14" t="n">
        <x:f>SUMIF(Sales_Data!$A$2:$A$241,A10,Sales_Data!$N$2:$N$241)</x:f>
        <x:v>653664.05</x:v>
      </x:c>
      <x:c r="G10" s="14" t="n">
        <x:f>B10-E10</x:f>
        <x:v>401274.82999999996</x:v>
      </x:c>
      <x:c r="H10" s="14" t="n">
        <x:f>C10-F10</x:f>
        <x:v>377004.74</x:v>
      </x:c>
      <x:c r="I10" s="14" t="n">
        <x:f>SUMIF(OPEX_Data!$A$2:$A$73,A10,OPEX_Data!$D$2:$D$73)</x:f>
        <x:v>361680</x:v>
      </x:c>
      <x:c r="J10" s="14" t="n">
        <x:f>SUMIF(OPEX_Data!$A$2:$A$73,A10,OPEX_Data!$E$2:$E$73)</x:f>
        <x:v>377000.8</x:v>
      </x:c>
      <x:c r="K10" s="14" t="n">
        <x:f>G10-I10</x:f>
        <x:v>39594.82999999996</x:v>
      </x:c>
      <x:c r="L10" s="14" t="n">
        <x:f>H10-J10</x:f>
        <x:v>3.9400000000023283</x:v>
      </x:c>
      <x:c r="M10" s="14" t="n">
        <x:f>L10-K10</x:f>
        <x:v>-39590.889999999956</x:v>
      </x:c>
      <x:c r="N10" s="12" t="n">
        <x:f>IFERROR(G10/B10,0)</x:f>
        <x:v>0.4199049898306089</x:v>
      </x:c>
      <x:c r="O10" s="12" t="n">
        <x:f>IFERROR(H10/C10,0)</x:f>
        <x:v>0.36578651032986065</x:v>
      </x:c>
    </x:row>
    <x:row r="11">
      <x:c r="A11" t="str">
        <x:v>2025-10</x:v>
      </x:c>
      <x:c r="B11" s="14" t="n">
        <x:f>SUMIF(Sales_Data!$A$2:$A$241,A11,Sales_Data!$K$2:$K$241)</x:f>
        <x:v>1037174.5900000001</x:v>
      </x:c>
      <x:c r="C11" s="14" t="n">
        <x:f>SUMIF(Sales_Data!$A$2:$A$241,A11,Sales_Data!$L$2:$L$241)</x:f>
        <x:v>1108456.76</x:v>
      </x:c>
      <x:c r="D11" s="14" t="n">
        <x:f>C11-B11</x:f>
        <x:v>71282.16999999993</x:v>
      </x:c>
      <x:c r="E11" s="14" t="n">
        <x:f>SUMIF(Sales_Data!$A$2:$A$241,A11,Sales_Data!$M$2:$M$241)</x:f>
        <x:v>601333.98</x:v>
      </x:c>
      <x:c r="F11" s="14" t="n">
        <x:f>SUMIF(Sales_Data!$A$2:$A$241,A11,Sales_Data!$N$2:$N$241)</x:f>
        <x:v>703574.8500000001</x:v>
      </x:c>
      <x:c r="G11" s="14" t="n">
        <x:f>B11-E11</x:f>
        <x:v>435840.6100000001</x:v>
      </x:c>
      <x:c r="H11" s="14" t="n">
        <x:f>C11-F11</x:f>
        <x:v>404881.9099999999</x:v>
      </x:c>
      <x:c r="I11" s="14" t="n">
        <x:f>SUMIF(OPEX_Data!$A$2:$A$73,A11,OPEX_Data!$D$2:$D$73)</x:f>
        <x:v>365640</x:v>
      </x:c>
      <x:c r="J11" s="14" t="n">
        <x:f>SUMIF(OPEX_Data!$A$2:$A$73,A11,OPEX_Data!$E$2:$E$73)</x:f>
        <x:v>388879.39</x:v>
      </x:c>
      <x:c r="K11" s="14" t="n">
        <x:f>G11-I11</x:f>
        <x:v>70200.6100000001</x:v>
      </x:c>
      <x:c r="L11" s="14" t="n">
        <x:f>H11-J11</x:f>
        <x:v>16002.519999999902</x:v>
      </x:c>
      <x:c r="M11" s="14" t="n">
        <x:f>L11-K11</x:f>
        <x:v>-54198.0900000002</x:v>
      </x:c>
      <x:c r="N11" s="12" t="n">
        <x:f>IFERROR(G11/B11,0)</x:f>
        <x:v>0.4202191359123058</x:v>
      </x:c>
      <x:c r="O11" s="12" t="n">
        <x:f>IFERROR(H11/C11,0)</x:f>
        <x:v>0.36526630953109973</x:v>
      </x:c>
    </x:row>
    <x:row r="12">
      <x:c r="A12" t="str">
        <x:v>2025-11</x:v>
      </x:c>
      <x:c r="B12" s="14" t="n">
        <x:f>SUMIF(Sales_Data!$A$2:$A$241,A12,Sales_Data!$K$2:$K$241)</x:f>
        <x:v>1133347.3699999999</x:v>
      </x:c>
      <x:c r="C12" s="14" t="n">
        <x:f>SUMIF(Sales_Data!$A$2:$A$241,A12,Sales_Data!$L$2:$L$241)</x:f>
        <x:v>1199055.5899999999</x:v>
      </x:c>
      <x:c r="D12" s="14" t="n">
        <x:f>C12-B12</x:f>
        <x:v>65708.21999999997</x:v>
      </x:c>
      <x:c r="E12" s="14" t="n">
        <x:f>SUMIF(Sales_Data!$A$2:$A$241,A12,Sales_Data!$M$2:$M$241)</x:f>
        <x:v>657154.9899999999</x:v>
      </x:c>
      <x:c r="F12" s="14" t="n">
        <x:f>SUMIF(Sales_Data!$A$2:$A$241,A12,Sales_Data!$N$2:$N$241)</x:f>
        <x:v>764370.01</x:v>
      </x:c>
      <x:c r="G12" s="14" t="n">
        <x:f>B12-E12</x:f>
        <x:v>476192.38</x:v>
      </x:c>
      <x:c r="H12" s="14" t="n">
        <x:f>C12-F12</x:f>
        <x:v>434685.57999999984</x:v>
      </x:c>
      <x:c r="I12" s="14" t="n">
        <x:f>SUMIF(OPEX_Data!$A$2:$A$73,A12,OPEX_Data!$D$2:$D$73)</x:f>
        <x:v>378672</x:v>
      </x:c>
      <x:c r="J12" s="14" t="n">
        <x:f>SUMIF(OPEX_Data!$A$2:$A$73,A12,OPEX_Data!$E$2:$E$73)</x:f>
        <x:v>395629.93</x:v>
      </x:c>
      <x:c r="K12" s="14" t="n">
        <x:f>G12-I12</x:f>
        <x:v>97520.38</x:v>
      </x:c>
      <x:c r="L12" s="14" t="n">
        <x:f>H12-J12</x:f>
        <x:v>39055.64999999985</x:v>
      </x:c>
      <x:c r="M12" s="14" t="n">
        <x:f>L12-K12</x:f>
        <x:v>-58464.730000000156</x:v>
      </x:c>
      <x:c r="N12" s="12" t="n">
        <x:f>IFERROR(G12/B12,0)</x:f>
        <x:v>0.4201645431973783</x:v>
      </x:c>
      <x:c r="O12" s="12" t="n">
        <x:f>IFERROR(H12/C12,0)</x:f>
        <x:v>0.36252329218531054</x:v>
      </x:c>
    </x:row>
    <x:row r="13">
      <x:c r="A13" t="str">
        <x:v>2025-12</x:v>
      </x:c>
      <x:c r="B13" s="14" t="n">
        <x:f>SUMIF(Sales_Data!$A$2:$A$241,A13,Sales_Data!$K$2:$K$241)</x:f>
        <x:v>1312146.77</x:v>
      </x:c>
      <x:c r="C13" s="14" t="n">
        <x:f>SUMIF(Sales_Data!$A$2:$A$241,A13,Sales_Data!$L$2:$L$241)</x:f>
        <x:v>1383728.5899999999</x:v>
      </x:c>
      <x:c r="D13" s="14" t="n">
        <x:f>C13-B13</x:f>
        <x:v>71581.81999999983</x:v>
      </x:c>
      <x:c r="E13" s="14" t="n">
        <x:f>SUMIF(Sales_Data!$A$2:$A$241,A13,Sales_Data!$M$2:$M$241)</x:f>
        <x:v>760789.7100000002</x:v>
      </x:c>
      <x:c r="F13" s="14" t="n">
        <x:f>SUMIF(Sales_Data!$A$2:$A$241,A13,Sales_Data!$N$2:$N$241)</x:f>
        <x:v>882981.35</x:v>
      </x:c>
      <x:c r="G13" s="14" t="n">
        <x:f>B13-E13</x:f>
        <x:v>551357.0599999998</x:v>
      </x:c>
      <x:c r="H13" s="14" t="n">
        <x:f>C13-F13</x:f>
        <x:v>500747.2399999999</x:v>
      </x:c>
      <x:c r="I13" s="14" t="n">
        <x:f>SUMIF(OPEX_Data!$A$2:$A$73,A13,OPEX_Data!$D$2:$D$73)</x:f>
        <x:v>382729.2</x:v>
      </x:c>
      <x:c r="J13" s="14" t="n">
        <x:f>SUMIF(OPEX_Data!$A$2:$A$73,A13,OPEX_Data!$E$2:$E$73)</x:f>
        <x:v>396828.00999999995</x:v>
      </x:c>
      <x:c r="K13" s="14" t="n">
        <x:f>G13-I13</x:f>
        <x:v>168627.8599999998</x:v>
      </x:c>
      <x:c r="L13" s="14" t="n">
        <x:f>H13-J13</x:f>
        <x:v>103919.22999999992</x:v>
      </x:c>
      <x:c r="M13" s="14" t="n">
        <x:f>L13-K13</x:f>
        <x:v>-64708.62999999989</x:v>
      </x:c>
      <x:c r="N13" s="12" t="n">
        <x:f>IFERROR(G13/B13,0)</x:f>
        <x:v>0.42019465551098356</x:v>
      </x:c>
      <x:c r="O13" s="12" t="n">
        <x:f>IFERROR(H13/C13,0)</x:f>
        <x:v>0.36188255675197106</x:v>
      </x:c>
    </x:row>
    <x:row r="14">
      <x:c r="A14" s="19" t="str">
        <x:v>FY 2025</x:v>
      </x:c>
      <x:c r="B14" s="20" t="n">
        <x:f>SUM(B2:B13)</x:f>
        <x:v>11468158.929999998</x:v>
      </x:c>
      <x:c r="C14" s="20" t="n">
        <x:f>SUM(C2:C13)</x:f>
        <x:v>11664111.57</x:v>
      </x:c>
      <x:c r="D14" s="20" t="n">
        <x:f>SUM(D2:D13)</x:f>
        <x:v>195952.64000000013</x:v>
      </x:c>
      <x:c r="E14" s="20" t="n">
        <x:f>SUM(E2:E13)</x:f>
        <x:v>6649623.650000001</x:v>
      </x:c>
      <x:c r="F14" s="20" t="n">
        <x:f>SUM(F2:F13)</x:f>
        <x:v>7347741.24</x:v>
      </x:c>
      <x:c r="G14" s="20" t="n">
        <x:f>SUM(G2:G13)</x:f>
        <x:v>4818535.279999999</x:v>
      </x:c>
      <x:c r="H14" s="20" t="n">
        <x:f>SUM(H2:H13)</x:f>
        <x:v>4316370.33</x:v>
      </x:c>
      <x:c r="I14" s="20" t="n">
        <x:f>SUM(I2:I13)</x:f>
        <x:v>4239601.2</x:v>
      </x:c>
      <x:c r="J14" s="20" t="n">
        <x:f>SUM(J2:J13)</x:f>
        <x:v>4418552.04</x:v>
      </x:c>
      <x:c r="K14" s="20" t="n">
        <x:f>SUM(K2:K13)</x:f>
        <x:v>578934.0799999994</x:v>
      </x:c>
      <x:c r="L14" s="20" t="n">
        <x:f>SUM(L2:L13)</x:f>
        <x:v>-102181.71000000043</x:v>
      </x:c>
      <x:c r="M14" s="20" t="n">
        <x:f>SUM(M2:M13)</x:f>
        <x:v>-681115.7899999998</x:v>
      </x:c>
      <x:c r="N14" s="21" t="n">
        <x:f>IFERROR(G14/B14,0)</x:f>
        <x:v>0.4201664198596871</x:v>
      </x:c>
      <x:c r="O14" s="21" t="n">
        <x:f>IFERROR(H14/C14,0)</x:f>
        <x:v>0.3700556449667088</x:v>
      </x:c>
    </x:row>
  </x:sheetData>
  <x:pageMargins left="0.7" right="0.7" top="0.75" bottom="0.75" header="0.3" footer="0.3"/>
  <x:drawing xmlns:r="http://schemas.openxmlformats.org/officeDocument/2006/relationships" r:id="R3e9474568aeb4bdb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60" hidden="0" customWidth="1"/>
  </x:cols>
  <x:sheetData>
    <x:row r="1" ht="31" customHeight="1">
      <x:c r="A1" s="4" t="str">
        <x:v>Metric</x:v>
      </x:c>
      <x:c r="B1" s="4" t="str">
        <x:v>Budget FY25</x:v>
      </x:c>
      <x:c r="C1" s="4" t="str">
        <x:v>Actual FY25</x:v>
      </x:c>
      <x:c r="D1" s="4" t="str">
        <x:v>Variance</x:v>
      </x:c>
      <x:c r="E1" s="4" t="str">
        <x:v>Interpretation</x:v>
      </x:c>
    </x:row>
    <x:row r="2">
      <x:c r="A2" t="str">
        <x:v>Revenue</x:v>
      </x:c>
      <x:c r="B2" s="14" t="n">
        <x:f>Monthly_PnL!B14</x:f>
        <x:v>11468158.929999998</x:v>
      </x:c>
      <x:c r="C2" s="14" t="n">
        <x:f>Monthly_PnL!C14</x:f>
        <x:v>11664111.57</x:v>
      </x:c>
      <x:c r="D2" s="14" t="n">
        <x:f>C2-B2</x:f>
        <x:v>195952.64000000246</x:v>
      </x:c>
      <x:c r="E2" t="str">
        <x:v>Actual - Budget (positive favorable)</x:v>
      </x:c>
    </x:row>
    <x:row r="3">
      <x:c r="A3" t="str">
        <x:v>Cost of Goods Sold</x:v>
      </x:c>
      <x:c r="B3" s="14" t="n">
        <x:f>Monthly_PnL!E14</x:f>
        <x:v>6649623.650000001</x:v>
      </x:c>
      <x:c r="C3" s="14" t="n">
        <x:f>Monthly_PnL!F14</x:f>
        <x:v>7347741.24</x:v>
      </x:c>
      <x:c r="D3" s="14" t="n">
        <x:f>C3-B3</x:f>
        <x:v>698117.5899999989</x:v>
      </x:c>
      <x:c r="E3" t="str">
        <x:v>Actual - Budget (positive unfavorable)</x:v>
      </x:c>
    </x:row>
    <x:row r="4">
      <x:c r="A4" t="str">
        <x:v>Gross Profit</x:v>
      </x:c>
      <x:c r="B4" s="14" t="n">
        <x:f>Monthly_PnL!G14</x:f>
        <x:v>4818535.279999999</x:v>
      </x:c>
      <x:c r="C4" s="14" t="n">
        <x:f>Monthly_PnL!H14</x:f>
        <x:v>4316370.33</x:v>
      </x:c>
      <x:c r="D4" s="14" t="n">
        <x:f>C4-B4</x:f>
        <x:v>-502164.94999999925</x:v>
      </x:c>
      <x:c r="E4" t="str">
        <x:v>Actual - Budget (positive favorable)</x:v>
      </x:c>
    </x:row>
    <x:row r="5">
      <x:c r="A5" t="str">
        <x:v>Operating Expenses</x:v>
      </x:c>
      <x:c r="B5" s="14" t="n">
        <x:f>Monthly_PnL!I14</x:f>
        <x:v>4239601.2</x:v>
      </x:c>
      <x:c r="C5" s="14" t="n">
        <x:f>Monthly_PnL!J14</x:f>
        <x:v>4418552.04</x:v>
      </x:c>
      <x:c r="D5" s="14" t="n">
        <x:f>C5-B5</x:f>
        <x:v>178950.83999999985</x:v>
      </x:c>
      <x:c r="E5" t="str">
        <x:v>Actual - Budget (positive unfavorable)</x:v>
      </x:c>
    </x:row>
    <x:row r="6">
      <x:c r="A6" t="str">
        <x:v>EBITDA (proxy)</x:v>
      </x:c>
      <x:c r="B6" s="14" t="n">
        <x:f>Monthly_PnL!K14</x:f>
        <x:v>578934.0799999994</x:v>
      </x:c>
      <x:c r="C6" s="14" t="n">
        <x:f>Monthly_PnL!L14</x:f>
        <x:v>-102181.71000000043</x:v>
      </x:c>
      <x:c r="D6" s="14" t="n">
        <x:f>C6-B6</x:f>
        <x:v>-681115.7899999998</x:v>
      </x:c>
      <x:c r="E6" t="str">
        <x:v>Actual - Budget (positive favorable)</x:v>
      </x:c>
    </x:row>
    <x:row r="7">
      <x:c r="A7" t="str">
        <x:v>Gross Margin %</x:v>
      </x:c>
      <x:c r="B7" s="12" t="n">
        <x:f>Monthly_PnL!N14</x:f>
        <x:v>0.4201664198596871</x:v>
      </x:c>
      <x:c r="C7" s="12" t="n">
        <x:f>Monthly_PnL!O14</x:f>
        <x:v>0.3700556449667088</x:v>
      </x:c>
      <x:c r="D7" s="12" t="n">
        <x:f>C7-B7</x:f>
        <x:v>-0.05011077489297833</x:v>
      </x:c>
      <x:c r="E7" t="str">
        <x:v>Actual - Budget (percentage points)</x:v>
      </x:c>
    </x:row>
    <x:row r="9">
      <x:c r="A9" t="str">
        <x:v>Quality checks</x:v>
      </x:c>
    </x:row>
    <x:row r="10">
      <x:c r="A10" t="str">
        <x:v>Sales rows</x:v>
      </x:c>
      <x:c r="B10" t="n">
        <x:v>240</x:v>
      </x:c>
    </x:row>
    <x:row r="11">
      <x:c r="A11" t="str">
        <x:v>OPEX rows</x:v>
      </x:c>
      <x:c r="B11" t="n">
        <x:v>72</x:v>
      </x:c>
    </x:row>
    <x:row r="12">
      <x:c r="A12" t="str">
        <x:v>Number of SKUs</x:v>
      </x:c>
      <x:c r="B12" t="n">
        <x:v>20</x:v>
      </x:c>
    </x:row>
    <x:row r="13">
      <x:c r="A13" t="str">
        <x:v>Periods</x:v>
      </x:c>
      <x:c r="B13" t="n">
        <x:v>12</x:v>
      </x:c>
    </x:row>
    <x:row r="15">
      <x:c r="A15" t="str">
        <x:v>Model integrity: FY Revenue reconciles sales source</x:v>
      </x:c>
      <x:c r="B15" t="str">
        <x:f>IF(ABS(C2-SUM(Sales_Data!L2:L241))&lt;0.01,"PASS","FAIL")</x:f>
        <x:v>PASS</x:v>
      </x:c>
    </x:row>
    <x:row r="16">
      <x:c r="A16" t="str">
        <x:v>Model integrity: FY OPEX reconciles source</x:v>
      </x:c>
      <x:c r="B16" t="str">
        <x:f>IF(ABS(C5-SUM(OPEX_Data!E2:E73))&lt;0.01,"PASS","FAIL")</x:f>
        <x:v>PASS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65" hidden="0" customWidth="1"/>
    <x:col min="3" max="3" width="28" hidden="0" customWidth="1"/>
    <x:col min="4" max="4" width="85" hidden="0" customWidth="1"/>
  </x:cols>
  <x:sheetData>
    <x:row r="1" ht="31" customHeight="1">
      <x:c r="A1" s="4" t="str">
        <x:v>Assumption</x:v>
      </x:c>
      <x:c r="B1" s="4" t="str">
        <x:v>Value</x:v>
      </x:c>
      <x:c r="C1" s="4" t="str">
        <x:v>Type</x:v>
      </x:c>
      <x:c r="D1" s="4" t="str">
        <x:v>Notes</x:v>
      </x:c>
    </x:row>
    <x:row r="2">
      <x:c r="A2" t="str">
        <x:v>Currency</x:v>
      </x:c>
      <x:c r="B2" s="28" t="str">
        <x:v>USD</x:v>
      </x:c>
      <x:c r="C2" t="str">
        <x:v>Synthetic</x:v>
      </x:c>
      <x:c r="D2" t="str">
        <x:v>All values generated, not converted from UCI GBP</x:v>
      </x:c>
    </x:row>
    <x:row r="3">
      <x:c r="A3" t="str">
        <x:v>Period</x:v>
      </x:c>
      <x:c r="B3" s="28" t="str">
        <x:v>2025</x:v>
      </x:c>
      <x:c r="C3" t="str">
        <x:v>Synthetic</x:v>
      </x:c>
      <x:c r="D3" t="str">
        <x:v>Illustrative year not equal to reference dataset year</x:v>
      </x:c>
    </x:row>
    <x:row r="4">
      <x:c r="A4" t="str">
        <x:v>Product count</x:v>
      </x:c>
      <x:c r="B4" s="28" t="n">
        <x:v>20</x:v>
      </x:c>
      <x:c r="C4" t="str">
        <x:v>Synthetic</x:v>
      </x:c>
      <x:c r="D4" t="str">
        <x:v>4 categories x 5 products</x:v>
      </x:c>
    </x:row>
    <x:row r="5">
      <x:c r="A5" t="str">
        <x:v>Demand seasonal pattern</x:v>
      </x:c>
      <x:c r="B5" s="28" t="str">
        <x:v>0.81–1.42x</x:v>
      </x:c>
      <x:c r="C5" t="str">
        <x:v>Synthetic / UCI-inspired</x:v>
      </x:c>
      <x:c r="D5" t="str">
        <x:v>Illustrative seasonal multipliers, NOT estimated UCI coefficients</x:v>
      </x:c>
    </x:row>
    <x:row r="6">
      <x:c r="A6" t="str">
        <x:v>Actual unit volume variation</x:v>
      </x:c>
      <x:c r="B6" s="28" t="str">
        <x:v>-14% to +15% plus late-year adjustment</x:v>
      </x:c>
      <x:c r="C6" t="str">
        <x:v>Synthetic</x:v>
      </x:c>
      <x:c r="D6" t="str">
        <x:v>Per SKU-month seeded randomness</x:v>
      </x:c>
    </x:row>
    <x:row r="7">
      <x:c r="A7" t="str">
        <x:v>Actual pricing deviation</x:v>
      </x:c>
      <x:c r="B7" s="28" t="str">
        <x:v>-5.5% to +3% plus midyear adjustment</x:v>
      </x:c>
      <x:c r="C7" t="str">
        <x:v>Synthetic</x:v>
      </x:c>
      <x:c r="D7" t="str">
        <x:v>Per SKU-month seeded randomness</x:v>
      </x:c>
    </x:row>
    <x:row r="8">
      <x:c r="A8" t="str">
        <x:v>Actual unit cost shock</x:v>
      </x:c>
      <x:c r="B8" s="28" t="str">
        <x:v>+3.5% plus variable shocks</x:v>
      </x:c>
      <x:c r="C8" t="str">
        <x:v>Synthetic</x:v>
      </x:c>
      <x:c r="D8" t="str">
        <x:v>Higher after June, constructed for profitability analysis</x:v>
      </x:c>
    </x:row>
    <x:row r="9">
      <x:c r="A9" t="str">
        <x:v>Operating expense categories</x:v>
      </x:c>
      <x:c r="B9" s="28" t="n">
        <x:v>6</x:v>
      </x:c>
      <x:c r="C9" t="str">
        <x:v>Synthetic</x:v>
      </x:c>
      <x:c r="D9" t="str">
        <x:v>Fixed/variable classification is illustrative</x:v>
      </x:c>
    </x:row>
    <x:row r="10">
      <x:c r="A10" t="str">
        <x:v>Random seed</x:v>
      </x:c>
      <x:c r="B10" s="28" t="n">
        <x:v>20261029</x:v>
      </x:c>
      <x:c r="C10" t="str">
        <x:v>Synthetic</x:v>
      </x:c>
      <x:c r="D10" t="str">
        <x:v>Reproducibility of generator</x:v>
      </x:c>
    </x:row>
    <x:row r="11">
      <x:c r="A11" t="str">
        <x:v>Public reference</x:v>
      </x:c>
      <x:c r="B11" s="28" t="str">
        <x:v>https://archive.ics.uci.edu/dataset/502/online+retail+ii</x:v>
      </x:c>
      <x:c r="C11" t="str">
        <x:v>Source</x:v>
      </x:c>
      <x:c r="D11" t="str">
        <x:v>General structure/sales seasonality inspiration; no empirical extraction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7" hidden="0" customWidth="1"/>
    <x:col min="3" max="3" width="68" hidden="0" customWidth="1"/>
    <x:col min="4" max="4" width="18" hidden="0" customWidth="1"/>
    <x:col min="5" max="5" width="43" hidden="0" customWidth="1"/>
  </x:cols>
  <x:sheetData>
    <x:row r="1" ht="31" customHeight="1">
      <x:c r="A1" s="4" t="str">
        <x:v>Sheet</x:v>
      </x:c>
      <x:c r="B1" s="4" t="str">
        <x:v>Field</x:v>
      </x:c>
      <x:c r="C1" s="4" t="str">
        <x:v>Meaning</x:v>
      </x:c>
      <x:c r="D1" s="4" t="str">
        <x:v>Unit</x:v>
      </x:c>
      <x:c r="E1" s="4" t="str">
        <x:v>Provenance</x:v>
      </x:c>
    </x:row>
    <x:row r="2">
      <x:c r="A2" t="str">
        <x:v>Products</x:v>
      </x:c>
      <x:c r="B2" t="str">
        <x:v>SKU</x:v>
      </x:c>
      <x:c r="C2" s="8" t="str">
        <x:v>Product identifier</x:v>
      </x:c>
      <x:c r="D2" t="str">
        <x:v>Text</x:v>
      </x:c>
      <x:c r="E2" t="str">
        <x:v>Synthetic</x:v>
      </x:c>
    </x:row>
    <x:row r="3">
      <x:c r="A3" t="str">
        <x:v>Products</x:v>
      </x:c>
      <x:c r="B3" t="str">
        <x:v>Category</x:v>
      </x:c>
      <x:c r="C3" s="8" t="str">
        <x:v>Merchandising category</x:v>
      </x:c>
      <x:c r="D3" t="str">
        <x:v>Text</x:v>
      </x:c>
      <x:c r="E3" t="str">
        <x:v>Synthetic</x:v>
      </x:c>
    </x:row>
    <x:row r="4">
      <x:c r="A4" t="str">
        <x:v>Sales_Data</x:v>
      </x:c>
      <x:c r="B4" t="str">
        <x:v>Month</x:v>
      </x:c>
      <x:c r="C4" s="8" t="str">
        <x:v>YYYY-MM month key</x:v>
      </x:c>
      <x:c r="D4" t="str">
        <x:v>Text</x:v>
      </x:c>
      <x:c r="E4" t="str">
        <x:v>Synthetic</x:v>
      </x:c>
    </x:row>
    <x:row r="5">
      <x:c r="A5" t="str">
        <x:v>Sales_Data</x:v>
      </x:c>
      <x:c r="B5" t="str">
        <x:v>Budget Units / Actual Units</x:v>
      </x:c>
      <x:c r="C5" s="8" t="str">
        <x:v>Units sold; budget and realized</x:v>
      </x:c>
      <x:c r="D5" t="str">
        <x:v>Integer</x:v>
      </x:c>
      <x:c r="E5" t="str">
        <x:v>Synthetic</x:v>
      </x:c>
    </x:row>
    <x:row r="6">
      <x:c r="A6" t="str">
        <x:v>Sales_Data</x:v>
      </x:c>
      <x:c r="B6" t="str">
        <x:v>Budget Price / Actual Price USD</x:v>
      </x:c>
      <x:c r="C6" s="8" t="str">
        <x:v>Selling price per unit</x:v>
      </x:c>
      <x:c r="D6" t="str">
        <x:v>USD</x:v>
      </x:c>
      <x:c r="E6" t="str">
        <x:v>Synthetic</x:v>
      </x:c>
    </x:row>
    <x:row r="7">
      <x:c r="A7" t="str">
        <x:v>Sales_Data</x:v>
      </x:c>
      <x:c r="B7" t="str">
        <x:v>Budget Cost / Actual Cost USD</x:v>
      </x:c>
      <x:c r="C7" s="8" t="str">
        <x:v>Cost of goods per unit</x:v>
      </x:c>
      <x:c r="D7" t="str">
        <x:v>USD</x:v>
      </x:c>
      <x:c r="E7" t="str">
        <x:v>Synthetic</x:v>
      </x:c>
    </x:row>
    <x:row r="8">
      <x:c r="A8" t="str">
        <x:v>Sales_Data</x:v>
      </x:c>
      <x:c r="B8" t="str">
        <x:v>Budget Revenue / Actual Revenue USD</x:v>
      </x:c>
      <x:c r="C8" s="8" t="str">
        <x:v>Quantity multiplied by selling unit price</x:v>
      </x:c>
      <x:c r="D8" t="str">
        <x:v>USD</x:v>
      </x:c>
      <x:c r="E8" t="str">
        <x:v>Calculated during source generation</x:v>
      </x:c>
    </x:row>
    <x:row r="9">
      <x:c r="A9" t="str">
        <x:v>Sales_Data</x:v>
      </x:c>
      <x:c r="B9" t="str">
        <x:v>Budget COGS / Actual COGS USD</x:v>
      </x:c>
      <x:c r="C9" s="8" t="str">
        <x:v>Quantity multiplied by unit cost</x:v>
      </x:c>
      <x:c r="D9" t="str">
        <x:v>USD</x:v>
      </x:c>
      <x:c r="E9" t="str">
        <x:v>Calculated during source generation</x:v>
      </x:c>
    </x:row>
    <x:row r="10">
      <x:c r="A10" t="str">
        <x:v>OPEX_Data</x:v>
      </x:c>
      <x:c r="B10" t="str">
        <x:v>Expense Category</x:v>
      </x:c>
      <x:c r="C10" s="8" t="str">
        <x:v>Operating cost grouping</x:v>
      </x:c>
      <x:c r="D10" t="str">
        <x:v>Text</x:v>
      </x:c>
      <x:c r="E10" t="str">
        <x:v>Synthetic</x:v>
      </x:c>
    </x:row>
    <x:row r="11">
      <x:c r="A11" t="str">
        <x:v>OPEX_Data</x:v>
      </x:c>
      <x:c r="B11" t="str">
        <x:v>Budget USD / Actual USD</x:v>
      </x:c>
      <x:c r="C11" s="8" t="str">
        <x:v>Positive expense values</x:v>
      </x:c>
      <x:c r="D11" t="str">
        <x:v>USD</x:v>
      </x:c>
      <x:c r="E11" t="str">
        <x:v>Synthetic</x:v>
      </x:c>
    </x:row>
    <x:row r="12">
      <x:c r="A12" t="str">
        <x:v>Monthly_PnL</x:v>
      </x:c>
      <x:c r="B12" t="str">
        <x:v>Gross Profit</x:v>
      </x:c>
      <x:c r="C12" s="8" t="str">
        <x:v>Revenue less COGS</x:v>
      </x:c>
      <x:c r="D12" t="str">
        <x:v>USD</x:v>
      </x:c>
      <x:c r="E12" t="str">
        <x:v>Calculated formula</x:v>
      </x:c>
    </x:row>
    <x:row r="13">
      <x:c r="A13" t="str">
        <x:v>Monthly_PnL</x:v>
      </x:c>
      <x:c r="B13" t="str">
        <x:v>EBITDA</x:v>
      </x:c>
      <x:c r="C13" s="8" t="str">
        <x:v>Gross Profit less OPEX; proxy</x:v>
      </x:c>
      <x:c r="D13" t="str">
        <x:v>USD</x:v>
      </x:c>
      <x:c r="E13" t="str">
        <x:v>Calculated formula</x:v>
      </x:c>
    </x:row>
  </x:sheetData>
  <x:pageMargins left="0.7" right="0.7" top="0.75" bottom="0.75" header="0.3" footer="0.3"/>
</x:worksheet>
</file>